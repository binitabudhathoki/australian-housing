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binit\OneDrive\Desktop\"/>
    </mc:Choice>
  </mc:AlternateContent>
  <xr:revisionPtr revIDLastSave="0" documentId="13_ncr:1_{5D4AAFB9-01EA-4152-9CE9-4B6F0CDBEA3C}" xr6:coauthVersionLast="47" xr6:coauthVersionMax="47" xr10:uidLastSave="{00000000-0000-0000-0000-000000000000}"/>
  <bookViews>
    <workbookView xWindow="-90" yWindow="-90" windowWidth="19380" windowHeight="11460" activeTab="2" xr2:uid="{2717DB22-F9C7-4A51-8290-97E620EDD638}"/>
  </bookViews>
  <sheets>
    <sheet name="Sheet1" sheetId="3" r:id="rId1"/>
    <sheet name="Data" sheetId="2" r:id="rId2"/>
    <sheet name="dashboard" sheetId="1" r:id="rId3"/>
  </sheets>
  <definedNames>
    <definedName name="ExternalData_1" localSheetId="1" hidden="1">Data!$A$1:$J$407</definedName>
    <definedName name="Slicer_Price_Range">#N/A</definedName>
    <definedName name="Slicer_Suburb">#N/A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2" l="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07E468-5F3D-4D9C-A4FA-6B5E60D0D1D2}" keepAlive="1" name="Query - Burwood" description="Connection to the 'Burwood' query in the workbook." type="5" refreshedVersion="8" background="1" saveData="1">
    <dbPr connection="Provider=Microsoft.Mashup.OleDb.1;Data Source=$Workbook$;Location=Burwood;Extended Properties=&quot;&quot;" command="SELECT * FROM [Burwood]"/>
  </connection>
</connections>
</file>

<file path=xl/sharedStrings.xml><?xml version="1.0" encoding="utf-8"?>
<sst xmlns="http://schemas.openxmlformats.org/spreadsheetml/2006/main" count="2908" uniqueCount="314">
  <si>
    <t>Address</t>
  </si>
  <si>
    <t>Property type</t>
  </si>
  <si>
    <t>Sold BY</t>
  </si>
  <si>
    <t>BED</t>
  </si>
  <si>
    <t>Bath</t>
  </si>
  <si>
    <t>CAR</t>
  </si>
  <si>
    <t>Sale Price</t>
  </si>
  <si>
    <t>Sale Date</t>
  </si>
  <si>
    <t>Postcode</t>
  </si>
  <si>
    <t>Suburb</t>
  </si>
  <si>
    <t>53/61-71 QUEEN STREET AUBURN NSW 2144</t>
  </si>
  <si>
    <t>UNIT</t>
  </si>
  <si>
    <t>Urbane Real Estate Pty Ltd</t>
  </si>
  <si>
    <t>2</t>
  </si>
  <si>
    <t>1</t>
  </si>
  <si>
    <t>2144</t>
  </si>
  <si>
    <t>AUBURN</t>
  </si>
  <si>
    <t>42 PINE ROAD AUBURN NSW 2144</t>
  </si>
  <si>
    <t>HOUSE</t>
  </si>
  <si>
    <t>Laing + Simmons Auburn | Lidcombe</t>
  </si>
  <si>
    <t>5</t>
  </si>
  <si>
    <t>43 KIRKHAM ROAD AUBURN NSW 2144</t>
  </si>
  <si>
    <t>Starr Partners Auburn</t>
  </si>
  <si>
    <t>20/27-29 MARY STREET AUBURN NSW 2144</t>
  </si>
  <si>
    <t>N/A</t>
  </si>
  <si>
    <t>41/2 MACQUARIE ROAD AUBURN NSW 2144</t>
  </si>
  <si>
    <t>HS Partners</t>
  </si>
  <si>
    <t>23 CARNEGIE STREET AUBURN NSW 2144</t>
  </si>
  <si>
    <t>Ray White Auburn</t>
  </si>
  <si>
    <t>3</t>
  </si>
  <si>
    <t>97 CUMBERLAND ROAD AUBURN NSW 2144</t>
  </si>
  <si>
    <t>4</t>
  </si>
  <si>
    <t>2/5 GIBBONS STREET AUBURN NSW 2144</t>
  </si>
  <si>
    <t>31/6-14 PARK ROAD AUBURN NSW 2144</t>
  </si>
  <si>
    <t>Strathfield Partners Real Estate</t>
  </si>
  <si>
    <t>5105/57-59 QUEEN STREET AUBURN NSW 2144</t>
  </si>
  <si>
    <t>3 BELGIUM STREET AUBURN NSW 2144</t>
  </si>
  <si>
    <t>Richardson &amp; Wrench Auburn</t>
  </si>
  <si>
    <t>6</t>
  </si>
  <si>
    <t>4/11 GIBBONS STREET AUBURN NSW 2144</t>
  </si>
  <si>
    <t>22/67A HARROW ROAD AUBURN NSW 2144</t>
  </si>
  <si>
    <t>Phillip Daidone Realty</t>
  </si>
  <si>
    <t>85/2 MACQUARIE ROAD AUBURN NSW 2144</t>
  </si>
  <si>
    <t>64 MONA STREET AUBURN NSW 2144</t>
  </si>
  <si>
    <t>25 MOUNT AUBURN ROAD AUBURN NSW 2144</t>
  </si>
  <si>
    <t>14 NORMANBY ROAD AUBURN NSW 2144</t>
  </si>
  <si>
    <t>24 CHISWICK ROAD AUBURN NSW 2144</t>
  </si>
  <si>
    <t>Gilmour Property Agents</t>
  </si>
  <si>
    <t>507/28B NORTHUMBERLAND ROAD AUBURN NSW 2144</t>
  </si>
  <si>
    <t>Harvie Group</t>
  </si>
  <si>
    <t>67 MONA STREET AUBURN NSW 2144</t>
  </si>
  <si>
    <t>114/22-30 STATION ROAD AUBURN NSW 2144</t>
  </si>
  <si>
    <t>8/55-57 SUSAN STREET AUBURN NSW 2144</t>
  </si>
  <si>
    <t>Stone Parramatta</t>
  </si>
  <si>
    <t>54 ALICE STREET AUBURN NSW 2144</t>
  </si>
  <si>
    <t>1/190 PARK ROAD AUBURN NSW 2144</t>
  </si>
  <si>
    <t>Guardian Property Specialists</t>
  </si>
  <si>
    <t>11/2A UNION ROAD AUBURN NSW 2144</t>
  </si>
  <si>
    <t>203 AUBURN ROAD AUBURN NSW 2144</t>
  </si>
  <si>
    <t>47 HAMPSTEAD ROAD AUBURN NSW 2144</t>
  </si>
  <si>
    <t>6/85 NORTHUMBERLAND ROAD AUBURN NSW 2144</t>
  </si>
  <si>
    <t>8 COVER STREET AUBURN NSW 2144</t>
  </si>
  <si>
    <t>22 PARK ROAD AUBURN NSW 2144</t>
  </si>
  <si>
    <t>Colliers International - Sydney</t>
  </si>
  <si>
    <t>24 PARK ROAD AUBURN NSW 2144</t>
  </si>
  <si>
    <t>2/15 MACQUARIE ROAD AUBURN NSW 2144</t>
  </si>
  <si>
    <t>50/188 SOUTH PARADE AUBURN NSW 2144</t>
  </si>
  <si>
    <t>Multi Dynamic Auburn</t>
  </si>
  <si>
    <t>132/2 MACQUARIE ROAD AUBURN NSW 2144</t>
  </si>
  <si>
    <t>16 NORTH STREET AUBURN NSW 2144</t>
  </si>
  <si>
    <t>158/6-14 PARK ROAD AUBURN NSW 2144</t>
  </si>
  <si>
    <t>Belle Property Strathfield</t>
  </si>
  <si>
    <t>805/28B NORTHUMBERLAND ROAD AUBURN NSW 2144</t>
  </si>
  <si>
    <t>4/340 CHISHOLM ROAD AUBURN NSW 2144</t>
  </si>
  <si>
    <t>270A CUMBERLAND ROAD AUBURN NSW 2144</t>
  </si>
  <si>
    <t>40A HELENA STREET AUBURN NSW 2144</t>
  </si>
  <si>
    <t>First National Real Estate Waters &amp; Carpenter</t>
  </si>
  <si>
    <t>4/40-46 STATION ROAD AUBURN NSW 2144</t>
  </si>
  <si>
    <t>8/10 DARTBROOK ROAD AUBURN NSW 2144</t>
  </si>
  <si>
    <t>Exclusive Residential Real Estate</t>
  </si>
  <si>
    <t>18/19 DARTBROOK ROAD AUBURN NSW 2144</t>
  </si>
  <si>
    <t>1/55 NORTHUMBERLAND ROAD AUBURN NSW 2144</t>
  </si>
  <si>
    <t>Starr Partners Bella Vista</t>
  </si>
  <si>
    <t>9/26-30 ST HILLIERS ROAD AUBURN NSW 2144</t>
  </si>
  <si>
    <t>35/3-11 NORMANBY ROAD AUBURN NSW 2144</t>
  </si>
  <si>
    <t>Seeto Real Estate</t>
  </si>
  <si>
    <t>300 CHISHOLM ROAD AUBURN NSW 2144</t>
  </si>
  <si>
    <t>LJ Hooker Guildford | Granville</t>
  </si>
  <si>
    <t>5/97 DARTBROOK ROAD AUBURN NSW 2144</t>
  </si>
  <si>
    <t>14 GIBBONS STREET AUBURN NSW 2144</t>
  </si>
  <si>
    <t>HS Partners Real Estate</t>
  </si>
  <si>
    <t>25 LOUISA STREET AUBURN NSW 2144</t>
  </si>
  <si>
    <t>Macquarie Real Estate</t>
  </si>
  <si>
    <t>3/40-46 ST HILLIERS ROAD AUBURN NSW 2144</t>
  </si>
  <si>
    <t>22/27-29 MARY STREET AUBURN NSW 2144</t>
  </si>
  <si>
    <t>Leader Properties Real Estate</t>
  </si>
  <si>
    <t>23A RAGLAN ROAD AUBURN NSW 2144</t>
  </si>
  <si>
    <t>556/22-30 STATION ROAD AUBURN NSW 2144</t>
  </si>
  <si>
    <t>60/2 MACQUARIE ROAD AUBURN NSW 2144</t>
  </si>
  <si>
    <t>Waters &amp; Carpenter First National</t>
  </si>
  <si>
    <t>4/89 NORTHUMBERLAND ROAD AUBURN NSW 2144</t>
  </si>
  <si>
    <t>14/66-68 STATION ROAD AUBURN NSW 2144</t>
  </si>
  <si>
    <t>14/15 HARROW ROAD AUBURN NSW 2144</t>
  </si>
  <si>
    <t>14 FRASER STREET AUBURN NSW 2144</t>
  </si>
  <si>
    <t>9 ST JOHNS AVENUE AUBURN NSW 2144</t>
  </si>
  <si>
    <t>Phillip Daidone Realty Berala, Regents Park, Auburn &amp; Lidcombe</t>
  </si>
  <si>
    <t>9/29 ST JOHNS ROAD AUBURN NSW 2144</t>
  </si>
  <si>
    <t>Ray White La Malfa Group</t>
  </si>
  <si>
    <t>909/5 NORTHUMBERLAND ROAD AUBURN NSW 2144</t>
  </si>
  <si>
    <t>7/8-10 NORTHUMBERLAND ROAD AUBURN NSW 2144</t>
  </si>
  <si>
    <t>3/45 EDGAR STREET AUBURN NSW 2144</t>
  </si>
  <si>
    <t>22 HEATH STREET AUBURN NSW 2144</t>
  </si>
  <si>
    <t>3/17 MACQUARIE ROAD AUBURN NSW 2144</t>
  </si>
  <si>
    <t>Murdoch Lee Estate Agents</t>
  </si>
  <si>
    <t>16/176 SOUTH PARADE AUBURN NSW 2144</t>
  </si>
  <si>
    <t>7/48 ST HILLIERS ROAD AUBURN NSW 2144</t>
  </si>
  <si>
    <t>1/55-57 SUSAN STREET AUBURN NSW 2144</t>
  </si>
  <si>
    <t>20/54-60 DARTBROOK ROAD AUBURN NSW 2144</t>
  </si>
  <si>
    <t>John B Grant Real Estate</t>
  </si>
  <si>
    <t>4/120 HARROW ROAD AUBURN NSW 2144</t>
  </si>
  <si>
    <t>4/43 MACQUARIE ROAD AUBURN NSW 2144</t>
  </si>
  <si>
    <t>1/31A PROVINCIAL STREET AUBURN NSW 2144</t>
  </si>
  <si>
    <t>29A COCKTHORPE ROAD AUBURN NSW 2144</t>
  </si>
  <si>
    <t>18 CORNWALL ROAD AUBURN NSW 2144</t>
  </si>
  <si>
    <t>Laing+Simmons - Merrylands</t>
  </si>
  <si>
    <t>3/124 PARK ROAD AUBURN NSW 2144</t>
  </si>
  <si>
    <t>5111/57-59 QUEEN STREET AUBURN NSW 2144</t>
  </si>
  <si>
    <t>9</t>
  </si>
  <si>
    <t>26 CASTLE STREET AUBURN NSW 2144</t>
  </si>
  <si>
    <t>8/15 HALL STREET AUBURN NSW 2144</t>
  </si>
  <si>
    <t>5/87 STATION ROAD AUBURN NSW 2144</t>
  </si>
  <si>
    <t>4/89 STATION ROAD AUBURN NSW 2144</t>
  </si>
  <si>
    <t>Ea Realty</t>
  </si>
  <si>
    <t>1 VERONA STREET AUBURN NSW 2144</t>
  </si>
  <si>
    <t>304/172 SOUTH PARADE AUBURN NSW 2144</t>
  </si>
  <si>
    <t>4 YILLOWRA STREET AUBURN NSW 2144</t>
  </si>
  <si>
    <t>121/6-14 PARK ROAD AUBURN NSW 2144</t>
  </si>
  <si>
    <t>MQ Realty</t>
  </si>
  <si>
    <t>2/78 WATER STREET AUBURN NSW 2144</t>
  </si>
  <si>
    <t>16/27-29 MARY STREET AUBURN NSW 2144</t>
  </si>
  <si>
    <t>5/93 NORTHUMBERLAND ROAD AUBURN NSW 2144</t>
  </si>
  <si>
    <t>152/6-14 PARK ROAD AUBURN NSW 2144</t>
  </si>
  <si>
    <t>Re/Max Prestige</t>
  </si>
  <si>
    <t>4605/57-59 QUEEN STREET AUBURN NSW 2144</t>
  </si>
  <si>
    <t>7/68-70 ST HILLIERS ROAD AUBURN NSW 2144</t>
  </si>
  <si>
    <t>402/8 STATION ROAD AUBURN NSW 2144</t>
  </si>
  <si>
    <t>Ray White Green Square</t>
  </si>
  <si>
    <t>5/26 DARTBROOK ROAD AUBURN NSW 2144</t>
  </si>
  <si>
    <t>3/92 NORTHUMBERLAND ROAD AUBURN NSW 2144</t>
  </si>
  <si>
    <t>5079/57-59 QUEEN STREET AUBURN NSW 2144</t>
  </si>
  <si>
    <t>8/64 STATION ROAD AUBURN NSW 2144</t>
  </si>
  <si>
    <t>3/28 ELSHAM ROAD AUBURN NSW 2144</t>
  </si>
  <si>
    <t>708/12 NORTHUMBERLAND ROAD AUBURN NSW 2144</t>
  </si>
  <si>
    <t>LJ Hooker Chinatown</t>
  </si>
  <si>
    <t>6/98 NORTHUMBERLAND ROAD AUBURN NSW 2144</t>
  </si>
  <si>
    <t>30/48 ST HILLIERS ROAD AUBURN NSW 2144</t>
  </si>
  <si>
    <t>4/76 STATION ROAD AUBURN NSW 2144</t>
  </si>
  <si>
    <t>3 EDGAR STREET AUBURN NSW 2144</t>
  </si>
  <si>
    <t>25 ELM ROAD AUBURN NSW 2144</t>
  </si>
  <si>
    <t>Horwood Nolan</t>
  </si>
  <si>
    <t>34 SUSAN STREET AUBURN NSW 2144</t>
  </si>
  <si>
    <t>Ray White Lidcombe</t>
  </si>
  <si>
    <t>4/99 DARTBROOK ROAD AUBURN NSW 2144</t>
  </si>
  <si>
    <t>183/2 MACQUARIE ROAD AUBURN NSW 2144</t>
  </si>
  <si>
    <t>Raine And Horne Carlingford</t>
  </si>
  <si>
    <t>237 RAWSON STREET AUBURN NSW 2144</t>
  </si>
  <si>
    <t>@Realty</t>
  </si>
  <si>
    <t>126 SOUTH PARADE AUBURN NSW 2144</t>
  </si>
  <si>
    <t>28 FRASER STREET AUBURN NSW 2144</t>
  </si>
  <si>
    <t>Century 21 Homezone Real Estate</t>
  </si>
  <si>
    <t>168 PARRAMATTA ROAD AUBURN NSW 2144</t>
  </si>
  <si>
    <t>144 CHISHOLM ROAD AUBURN NSW 2144</t>
  </si>
  <si>
    <t>46 EDGAR STREET AUBURN NSW 2144</t>
  </si>
  <si>
    <t>205/28B NORTHUMBERLAND ROAD AUBURN NSW 2144</t>
  </si>
  <si>
    <t>2/94-96 ST HILLIERS ROAD AUBURN NSW 2144</t>
  </si>
  <si>
    <t>Stone New Projects</t>
  </si>
  <si>
    <t>35 ST JOHNS ROAD AUBURN NSW 2144</t>
  </si>
  <si>
    <t>887/22-30 STATION ROAD AUBURN NSW 2144</t>
  </si>
  <si>
    <t>3/103 DARTBROOK ROAD AUBURN NSW 2144</t>
  </si>
  <si>
    <t>5/23 ELSHAM ROAD AUBURN NSW 2144</t>
  </si>
  <si>
    <t>27 LUKE AVENUE BURWOOD NSW 2134</t>
  </si>
  <si>
    <t>Richardson &amp; Wrench Pyrmont/Glebe</t>
  </si>
  <si>
    <t>2134</t>
  </si>
  <si>
    <t>BURWOOD</t>
  </si>
  <si>
    <t>9/14-16 PARK AVENUE BURWOOD NSW 2134</t>
  </si>
  <si>
    <t>McGrath Hunters Hill (F)</t>
  </si>
  <si>
    <t>12/38-40 MERYLA STREET BURWOOD NSW 2134</t>
  </si>
  <si>
    <t>LJ Hooker Burwood</t>
  </si>
  <si>
    <t>LOT 1/23 SHAFTESBURY ROAD BURWOOD NSW 2134</t>
  </si>
  <si>
    <t>93/3 RAILWAY PARADE BURWOOD NSW 2134</t>
  </si>
  <si>
    <t>Australian Property Alliance Management</t>
  </si>
  <si>
    <t>23 WELDON STREET BURWOOD NSW 2134</t>
  </si>
  <si>
    <t>Rich And Oliva</t>
  </si>
  <si>
    <t>12</t>
  </si>
  <si>
    <t>2 WYATT AVENUE BURWOOD NSW 2134</t>
  </si>
  <si>
    <t>8</t>
  </si>
  <si>
    <t>302/180-186 BURWOOD ROAD BURWOOD NSW 2134</t>
  </si>
  <si>
    <t>1/3-13 COMER STREET BURWOOD NSW 2134</t>
  </si>
  <si>
    <t>Raine &amp; Horne Lindfield</t>
  </si>
  <si>
    <t>24 ETHEL STREET BURWOOD NSW 2134</t>
  </si>
  <si>
    <t>McGrath Strathfield</t>
  </si>
  <si>
    <t>20 SHAFTESBURY ROAD BURWOOD NSW 2134</t>
  </si>
  <si>
    <t>1801/15 GEORGE STREET BURWOOD NSW 2134</t>
  </si>
  <si>
    <t>32/1A GLOUCESTER AVENUE BURWOOD NSW 2134</t>
  </si>
  <si>
    <t>2D/88 BURWOOD ROAD BURWOOD NSW 2134</t>
  </si>
  <si>
    <t>3/4 BELMORE STREET BURWOOD NSW 2134</t>
  </si>
  <si>
    <t>217 BURWOOD ROAD BURWOOD NSW 2134</t>
  </si>
  <si>
    <t>11 QUANDONG AVENUE BURWOOD NSW 2134</t>
  </si>
  <si>
    <t>36/12-16 BELMORE STREET BURWOOD NSW 2134</t>
  </si>
  <si>
    <t>3 WYATT AVENUE BURWOOD NSW 2134</t>
  </si>
  <si>
    <t>4/4 PARK ROAD BURWOOD NSW 2134</t>
  </si>
  <si>
    <t>3/55-57 PARK ROAD BURWOOD NSW 2134</t>
  </si>
  <si>
    <t>V.J Ray Pty Ltd - Campsie</t>
  </si>
  <si>
    <t>12/21 GEORGE STREET BURWOOD NSW 2134</t>
  </si>
  <si>
    <t>Innerwest Property</t>
  </si>
  <si>
    <t>13/21 GEORGE STREET BURWOOD NSW 2134</t>
  </si>
  <si>
    <t>11A ROWLEY STREET BURWOOD NSW 2134</t>
  </si>
  <si>
    <t>24/10 GLADSTONE STREET BURWOOD NSW 2134</t>
  </si>
  <si>
    <t>309/1 RAILWAY PARADE BURWOOD NSW 2134</t>
  </si>
  <si>
    <t>2C/88 BURWOOD ROAD BURWOOD NSW 2134</t>
  </si>
  <si>
    <t>503C/8 WYNNE AVENUE BURWOOD NSW 2134</t>
  </si>
  <si>
    <t>203/9 CARILLA STREET BURWOOD NSW 2134</t>
  </si>
  <si>
    <t>2/234 WENTWORTH ROAD BURWOOD NSW 2134</t>
  </si>
  <si>
    <t>610/7 CONDER STREET BURWOOD NSW 2134</t>
  </si>
  <si>
    <t>2/199 LIVERPOOL ROAD BURWOOD NSW 2134</t>
  </si>
  <si>
    <t>24 MT PLEASANT AVENUE BURWOOD NSW 2134</t>
  </si>
  <si>
    <t>903/43 BELMORE STREET BURWOOD NSW 2134</t>
  </si>
  <si>
    <t>2078/67 SHAFTESBURY ROAD BURWOOD NSW 2134</t>
  </si>
  <si>
    <t>Myproperty - Epping</t>
  </si>
  <si>
    <t>8 APPIAN WAY BURWOOD NSW 2134</t>
  </si>
  <si>
    <t>Rich And Oliva Real Estate</t>
  </si>
  <si>
    <t>11/316 PARRAMATTA ROAD BURWOOD NSW 2134</t>
  </si>
  <si>
    <t>Ray White Zoom Group</t>
  </si>
  <si>
    <t>6/199 LIVERPOOL ROAD BURWOOD NSW 2134</t>
  </si>
  <si>
    <t>Ray White Elevate Group</t>
  </si>
  <si>
    <t>16/199 LIVERPOOL ROAD BURWOOD NSW 2134</t>
  </si>
  <si>
    <t>1/37 ANGELO STREET BURWOOD NSW 2134</t>
  </si>
  <si>
    <t>6038/1-3 BELMORE STREET BURWOOD NSW 2134</t>
  </si>
  <si>
    <t>Lytin Real Estate</t>
  </si>
  <si>
    <t>402/6 RAILWAY PARADE BURWOOD NSW 2134</t>
  </si>
  <si>
    <t>2301/7-9 BURLEIGH STREET BURWOOD NSW 2134</t>
  </si>
  <si>
    <t>83/3 RAILWAY PARADE BURWOOD NSW 2134</t>
  </si>
  <si>
    <t>3028/67 SHAFTESBURY ROAD BURWOOD NSW 2134</t>
  </si>
  <si>
    <t>Imperial Star Investment</t>
  </si>
  <si>
    <t>4/10 GLADSTONE STREET BURWOOD NSW 2134</t>
  </si>
  <si>
    <t>Jami Real Estate</t>
  </si>
  <si>
    <t>310/65 SHAFTESBURY ROAD BURWOOD NSW 2134</t>
  </si>
  <si>
    <t>1/21 GEORGE STREET BURWOOD NSW 2134</t>
  </si>
  <si>
    <t>3/21 GEORGE STREET BURWOOD NSW 2134</t>
  </si>
  <si>
    <t>Zoom Real Estate Burwood</t>
  </si>
  <si>
    <t>6/21 GEORGE STREET BURWOOD NSW 2134</t>
  </si>
  <si>
    <t>7/21 GEORGE STREET BURWOOD NSW 2134</t>
  </si>
  <si>
    <t>9/21 GEORGE STREET BURWOOD NSW 2134</t>
  </si>
  <si>
    <t>10/21 GEORGE STREET BURWOOD NSW 2134</t>
  </si>
  <si>
    <t>11/21 GEORGE STREET BURWOOD NSW 2134</t>
  </si>
  <si>
    <t>14/21 GEORGE STREET BURWOOD NSW 2134</t>
  </si>
  <si>
    <t>15/21 GEORGE STREET BURWOOD NSW 2134</t>
  </si>
  <si>
    <t>16/21 GEORGE STREET BURWOOD NSW 2134</t>
  </si>
  <si>
    <t>6/30-32 PARK AVENUE BURWOOD NSW 2134</t>
  </si>
  <si>
    <t>10/34-38 PARK AVENUE BURWOOD NSW 2134</t>
  </si>
  <si>
    <t>1305/39 BELMORE STREET BURWOOD NSW 2134</t>
  </si>
  <si>
    <t>202/15-19 CLARENCE STREET BURWOOD NSW 2134</t>
  </si>
  <si>
    <t>903A/68-72 RAILWAY PARADE BURWOOD NSW 2134</t>
  </si>
  <si>
    <t>502/3 WILGA STREET BURWOOD NSW 2134</t>
  </si>
  <si>
    <t>106/39 BELMORE STREET BURWOOD NSW 2134</t>
  </si>
  <si>
    <t>9 OXFORD STREET BURWOOD NSW 2134</t>
  </si>
  <si>
    <t>11 OXFORD STREET BURWOOD NSW 2134</t>
  </si>
  <si>
    <t>11/4 RAILWAY PARADE BURWOOD NSW 2134</t>
  </si>
  <si>
    <t>5/18 RAILWAY PARADE BURWOOD NSW 2134</t>
  </si>
  <si>
    <t>100 WENTWORTH ROAD BURWOOD NSW 2134</t>
  </si>
  <si>
    <t>37/16-22 BURWOOD ROAD BURWOOD NSW 2134</t>
  </si>
  <si>
    <t>Belle Property Concord</t>
  </si>
  <si>
    <t>50 BURWOOD ROAD BURWOOD NSW 2134</t>
  </si>
  <si>
    <t>30 WELDON STREET BURWOOD NSW 2134</t>
  </si>
  <si>
    <t>3/54-56 WENTWORTH ROAD BURWOOD NSW 2134</t>
  </si>
  <si>
    <t>Raine &amp; Horne Concord / Strathfield</t>
  </si>
  <si>
    <t>1005/29 BELMORE STREET BURWOOD NSW 2134</t>
  </si>
  <si>
    <t>18 BOLD STREET BURWOOD NSW 2134</t>
  </si>
  <si>
    <t>20A CONDER STREET BURWOOD NSW 2134</t>
  </si>
  <si>
    <t>4/38 BELMORE STREET BURWOOD NSW 2134</t>
  </si>
  <si>
    <t>Century 21 Advantage</t>
  </si>
  <si>
    <t>202/2A ELSIE STREET BURWOOD NSW 2134</t>
  </si>
  <si>
    <t>1010/39 BELMORE STREET BURWOOD NSW 2134</t>
  </si>
  <si>
    <t>508/7 CONDER STREET BURWOOD NSW 2134</t>
  </si>
  <si>
    <t>17 PARK ROAD BURWOOD NSW 2134</t>
  </si>
  <si>
    <t>Cobdenhayson Drummoyne</t>
  </si>
  <si>
    <t>206/3 WILGA STREET BURWOOD NSW 2134</t>
  </si>
  <si>
    <t>Ray White Norwest</t>
  </si>
  <si>
    <t>503/15 GEORGE STREET BURWOOD NSW 2134</t>
  </si>
  <si>
    <t>74A LUCAS ROAD BURWOOD NSW 2134</t>
  </si>
  <si>
    <t>24A MT PLEASANT AVENUE BURWOOD NSW 2134</t>
  </si>
  <si>
    <t>Australian housing Dashboard</t>
  </si>
  <si>
    <t>Provide insights for sold properties</t>
  </si>
  <si>
    <t>Row Labels</t>
  </si>
  <si>
    <t>Grand Total</t>
  </si>
  <si>
    <t>Count of Address</t>
  </si>
  <si>
    <t>Property sold</t>
  </si>
  <si>
    <t>Agency Name</t>
  </si>
  <si>
    <t>Top 5 properties by Agency Name</t>
  </si>
  <si>
    <t>Average of Sale Price</t>
  </si>
  <si>
    <t>400k to 500k</t>
  </si>
  <si>
    <t>1M+</t>
  </si>
  <si>
    <t>Price Range</t>
  </si>
  <si>
    <t>600K-700K</t>
  </si>
  <si>
    <t>700K-800K</t>
  </si>
  <si>
    <t>800K-900K</t>
  </si>
  <si>
    <t>500K-600K</t>
  </si>
  <si>
    <t>900K-1M</t>
  </si>
  <si>
    <t>Properties sold</t>
  </si>
  <si>
    <t>2024</t>
  </si>
  <si>
    <t>2025</t>
  </si>
  <si>
    <t>Dec</t>
  </si>
  <si>
    <t>Jan</t>
  </si>
  <si>
    <t>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</si>
</sst>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entury Gothic"/>
      <family val="2"/>
      <scheme val="minor"/>
    </font>
    <font>
      <sz val="12"/>
      <color theme="1"/>
      <name val="Century Gothic"/>
      <family val="2"/>
      <scheme val="minor"/>
    </font>
    <font>
      <b/>
      <sz val="18"/>
      <color theme="1"/>
      <name val="Times New Roman"/>
      <family val="1"/>
    </font>
    <font>
      <sz val="11"/>
      <color theme="5" tint="-0.249977111117893"/>
      <name val="Century Gothic"/>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2" borderId="0" xfId="0" applyFill="1"/>
    <xf numFmtId="0" fontId="1" fillId="2" borderId="0" xfId="0" applyFont="1" applyFill="1"/>
    <xf numFmtId="0" fontId="0" fillId="0" borderId="0" xfId="0" pivotButton="1"/>
    <xf numFmtId="0" fontId="0" fillId="0" borderId="0" xfId="0" applyAlignment="1">
      <alignment horizontal="left"/>
    </xf>
    <xf numFmtId="0" fontId="2" fillId="2" borderId="0" xfId="0" applyFont="1" applyFill="1"/>
    <xf numFmtId="0" fontId="0" fillId="0" borderId="0" xfId="0" applyAlignment="1">
      <alignment horizontal="left" indent="1"/>
    </xf>
    <xf numFmtId="0" fontId="3" fillId="0" borderId="0" xfId="0" applyFont="1" applyAlignment="1">
      <alignment horizontal="center"/>
    </xf>
    <xf numFmtId="0" fontId="0" fillId="0" borderId="0" xfId="0" applyNumberFormat="1"/>
  </cellXfs>
  <cellStyles count="1">
    <cellStyle name="Normal" xfId="0" builtinId="0"/>
  </cellStyles>
  <dxfs count="31">
    <dxf>
      <font>
        <color theme="5"/>
      </font>
    </dxf>
    <dxf>
      <font>
        <color theme="1"/>
      </font>
    </dxf>
    <dxf>
      <font>
        <color theme="1"/>
      </font>
    </dxf>
    <dxf>
      <font>
        <color theme="5"/>
      </font>
    </dxf>
    <dxf>
      <font>
        <color theme="1"/>
      </font>
    </dxf>
    <dxf>
      <font>
        <color theme="1"/>
      </font>
    </dxf>
    <dxf>
      <font>
        <color theme="5"/>
      </font>
    </dxf>
    <dxf>
      <font>
        <color theme="1"/>
      </font>
    </dxf>
    <dxf>
      <font>
        <color theme="1"/>
      </font>
    </dxf>
    <dxf>
      <font>
        <color theme="5"/>
      </font>
    </dxf>
    <dxf>
      <font>
        <color theme="1"/>
      </font>
    </dxf>
    <dxf>
      <font>
        <color theme="1"/>
      </font>
    </dxf>
    <dxf>
      <font>
        <color theme="5"/>
      </font>
    </dxf>
    <dxf>
      <font>
        <color theme="1"/>
      </font>
    </dxf>
    <dxf>
      <font>
        <color theme="1"/>
      </font>
    </dxf>
    <dxf>
      <font>
        <color theme="5"/>
      </font>
    </dxf>
    <dxf>
      <font>
        <color theme="1"/>
      </font>
    </dxf>
    <dxf>
      <font>
        <color theme="1"/>
      </font>
    </dxf>
    <dxf>
      <font>
        <color theme="5"/>
      </font>
    </dxf>
    <dxf>
      <font>
        <color theme="1"/>
      </font>
    </dxf>
    <dxf>
      <font>
        <color theme="1"/>
      </font>
    </dxf>
    <dxf>
      <numFmt numFmtId="0" formatCode="General"/>
    </dxf>
    <dxf>
      <numFmt numFmtId="0" formatCode="General"/>
    </dxf>
    <dxf>
      <numFmt numFmtId="0" formatCode="General"/>
    </dxf>
    <dxf>
      <numFmt numFmtId="19" formatCode="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[cleaning daata =W3.xlsx]Sheet1!PivotTable6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Property sold by sale date</a:t>
            </a:r>
          </a:p>
        </c:rich>
      </c:tx>
      <c:layout>
        <c:manualLayout>
          <c:xMode val="edge"/>
          <c:yMode val="edge"/>
          <c:x val="0.1545099199547225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Sheet1!$A$29:$A$34</c:f>
              <c:multiLvlStrCache>
                <c:ptCount val="3"/>
                <c:lvl>
                  <c:pt idx="0">
                    <c:v>Dec</c:v>
                  </c:pt>
                  <c:pt idx="1">
                    <c:v>Jan</c:v>
                  </c:pt>
                  <c:pt idx="2">
                    <c:v>Feb</c:v>
                  </c:pt>
                </c:lvl>
                <c:lvl>
                  <c:pt idx="0">
                    <c:v>2024</c:v>
                  </c:pt>
                  <c:pt idx="1">
                    <c:v>2025</c:v>
                  </c:pt>
                </c:lvl>
              </c:multiLvlStrCache>
            </c:multiLvlStrRef>
          </c:cat>
          <c:val>
            <c:numRef>
              <c:f>Sheet1!$B$29:$B$34</c:f>
              <c:numCache>
                <c:formatCode>General</c:formatCode>
                <c:ptCount val="3"/>
                <c:pt idx="0">
                  <c:v>40</c:v>
                </c:pt>
                <c:pt idx="1">
                  <c:v>25</c:v>
                </c:pt>
                <c:pt idx="2">
                  <c:v>20</c:v>
                </c:pt>
              </c:numCache>
            </c:numRef>
          </c:val>
          <c:extLst>
            <c:ext xmlns:c16="http://schemas.microsoft.com/office/drawing/2014/chart" uri="{C3380CC4-5D6E-409C-BE32-E72D297353CC}">
              <c16:uniqueId val="{00000000-D95F-4090-8DFB-BDF9B788962E}"/>
            </c:ext>
          </c:extLst>
        </c:ser>
        <c:dLbls>
          <c:dLblPos val="outEnd"/>
          <c:showLegendKey val="0"/>
          <c:showVal val="1"/>
          <c:showCatName val="0"/>
          <c:showSerName val="0"/>
          <c:showPercent val="0"/>
          <c:showBubbleSize val="0"/>
        </c:dLbls>
        <c:gapWidth val="219"/>
        <c:overlap val="-27"/>
        <c:axId val="279694303"/>
        <c:axId val="279697183"/>
      </c:barChart>
      <c:catAx>
        <c:axId val="27969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697183"/>
        <c:crosses val="autoZero"/>
        <c:auto val="1"/>
        <c:lblAlgn val="ctr"/>
        <c:lblOffset val="100"/>
        <c:noMultiLvlLbl val="0"/>
      </c:catAx>
      <c:valAx>
        <c:axId val="279697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694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[cleaning daata =W3.xlsx]Sheet1!PivotTable6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Property sold by sale date</a:t>
            </a:r>
          </a:p>
        </c:rich>
      </c:tx>
      <c:layout>
        <c:manualLayout>
          <c:xMode val="edge"/>
          <c:yMode val="edge"/>
          <c:x val="0.1545099199547225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Sheet1!$A$29:$A$34</c:f>
              <c:multiLvlStrCache>
                <c:ptCount val="3"/>
                <c:lvl>
                  <c:pt idx="0">
                    <c:v>Dec</c:v>
                  </c:pt>
                  <c:pt idx="1">
                    <c:v>Jan</c:v>
                  </c:pt>
                  <c:pt idx="2">
                    <c:v>Feb</c:v>
                  </c:pt>
                </c:lvl>
                <c:lvl>
                  <c:pt idx="0">
                    <c:v>2024</c:v>
                  </c:pt>
                  <c:pt idx="1">
                    <c:v>2025</c:v>
                  </c:pt>
                </c:lvl>
              </c:multiLvlStrCache>
            </c:multiLvlStrRef>
          </c:cat>
          <c:val>
            <c:numRef>
              <c:f>Sheet1!$B$29:$B$34</c:f>
              <c:numCache>
                <c:formatCode>General</c:formatCode>
                <c:ptCount val="3"/>
                <c:pt idx="0">
                  <c:v>40</c:v>
                </c:pt>
                <c:pt idx="1">
                  <c:v>25</c:v>
                </c:pt>
                <c:pt idx="2">
                  <c:v>20</c:v>
                </c:pt>
              </c:numCache>
            </c:numRef>
          </c:val>
          <c:extLst>
            <c:ext xmlns:c16="http://schemas.microsoft.com/office/drawing/2014/chart" uri="{C3380CC4-5D6E-409C-BE32-E72D297353CC}">
              <c16:uniqueId val="{00000000-0B97-46F4-841E-B680ECB0A5D0}"/>
            </c:ext>
          </c:extLst>
        </c:ser>
        <c:dLbls>
          <c:dLblPos val="outEnd"/>
          <c:showLegendKey val="0"/>
          <c:showVal val="1"/>
          <c:showCatName val="0"/>
          <c:showSerName val="0"/>
          <c:showPercent val="0"/>
          <c:showBubbleSize val="0"/>
        </c:dLbls>
        <c:gapWidth val="219"/>
        <c:overlap val="-27"/>
        <c:axId val="279694303"/>
        <c:axId val="279697183"/>
      </c:barChart>
      <c:catAx>
        <c:axId val="27969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697183"/>
        <c:crosses val="autoZero"/>
        <c:auto val="1"/>
        <c:lblAlgn val="ctr"/>
        <c:lblOffset val="100"/>
        <c:noMultiLvlLbl val="0"/>
      </c:catAx>
      <c:valAx>
        <c:axId val="279697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694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212725</xdr:colOff>
      <xdr:row>2</xdr:row>
      <xdr:rowOff>44450</xdr:rowOff>
    </xdr:from>
    <xdr:to>
      <xdr:col>7</xdr:col>
      <xdr:colOff>1400175</xdr:colOff>
      <xdr:row>15</xdr:row>
      <xdr:rowOff>178853</xdr:rowOff>
    </xdr:to>
    <mc:AlternateContent xmlns:mc="http://schemas.openxmlformats.org/markup-compatibility/2006" xmlns:a14="http://schemas.microsoft.com/office/drawing/2010/main">
      <mc:Choice Requires="a14">
        <xdr:graphicFrame macro="">
          <xdr:nvGraphicFramePr>
            <xdr:cNvPr id="2" name="Suburb">
              <a:extLst>
                <a:ext uri="{FF2B5EF4-FFF2-40B4-BE49-F238E27FC236}">
                  <a16:creationId xmlns:a16="http://schemas.microsoft.com/office/drawing/2014/main" id="{8F46A9D7-28B7-8E18-BB0D-A8108378CC9A}"/>
                </a:ext>
              </a:extLst>
            </xdr:cNvPr>
            <xdr:cNvGraphicFramePr/>
          </xdr:nvGraphicFramePr>
          <xdr:xfrm>
            <a:off x="0" y="0"/>
            <a:ext cx="0" cy="0"/>
          </xdr:xfrm>
          <a:graphic>
            <a:graphicData uri="http://schemas.microsoft.com/office/drawing/2010/slicer">
              <sle:slicer xmlns:sle="http://schemas.microsoft.com/office/drawing/2010/slicer" name="Suburb"/>
            </a:graphicData>
          </a:graphic>
        </xdr:graphicFrame>
      </mc:Choice>
      <mc:Fallback xmlns="">
        <xdr:sp macro="" textlink="">
          <xdr:nvSpPr>
            <xdr:cNvPr id="0" name=""/>
            <xdr:cNvSpPr>
              <a:spLocks noTextEdit="1"/>
            </xdr:cNvSpPr>
          </xdr:nvSpPr>
          <xdr:spPr>
            <a:xfrm>
              <a:off x="5022850" y="438150"/>
              <a:ext cx="1828800" cy="2693453"/>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619125</xdr:colOff>
      <xdr:row>4</xdr:row>
      <xdr:rowOff>174625</xdr:rowOff>
    </xdr:from>
    <xdr:to>
      <xdr:col>5</xdr:col>
      <xdr:colOff>209550</xdr:colOff>
      <xdr:row>18</xdr:row>
      <xdr:rowOff>112178</xdr:rowOff>
    </xdr:to>
    <mc:AlternateContent xmlns:mc="http://schemas.openxmlformats.org/markup-compatibility/2006" xmlns:a14="http://schemas.microsoft.com/office/drawing/2010/main">
      <mc:Choice Requires="a14">
        <xdr:graphicFrame macro="">
          <xdr:nvGraphicFramePr>
            <xdr:cNvPr id="3" name="Price Range">
              <a:extLst>
                <a:ext uri="{FF2B5EF4-FFF2-40B4-BE49-F238E27FC236}">
                  <a16:creationId xmlns:a16="http://schemas.microsoft.com/office/drawing/2014/main" id="{4B27C594-410C-F556-D2A4-E99E2A7E1189}"/>
                </a:ext>
              </a:extLst>
            </xdr:cNvPr>
            <xdr:cNvGraphicFramePr/>
          </xdr:nvGraphicFramePr>
          <xdr:xfrm>
            <a:off x="0" y="0"/>
            <a:ext cx="0" cy="0"/>
          </xdr:xfrm>
          <a:graphic>
            <a:graphicData uri="http://schemas.microsoft.com/office/drawing/2010/slicer">
              <sle:slicer xmlns:sle="http://schemas.microsoft.com/office/drawing/2010/slicer" name="Price Range"/>
            </a:graphicData>
          </a:graphic>
        </xdr:graphicFrame>
      </mc:Choice>
      <mc:Fallback xmlns="">
        <xdr:sp macro="" textlink="">
          <xdr:nvSpPr>
            <xdr:cNvPr id="0" name=""/>
            <xdr:cNvSpPr>
              <a:spLocks noTextEdit="1"/>
            </xdr:cNvSpPr>
          </xdr:nvSpPr>
          <xdr:spPr>
            <a:xfrm>
              <a:off x="4305300" y="962025"/>
              <a:ext cx="1828800" cy="2693453"/>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287337</xdr:colOff>
      <xdr:row>26</xdr:row>
      <xdr:rowOff>79374</xdr:rowOff>
    </xdr:from>
    <xdr:to>
      <xdr:col>7</xdr:col>
      <xdr:colOff>292100</xdr:colOff>
      <xdr:row>36</xdr:row>
      <xdr:rowOff>6349</xdr:rowOff>
    </xdr:to>
    <xdr:graphicFrame macro="">
      <xdr:nvGraphicFramePr>
        <xdr:cNvPr id="5" name="Chart 4">
          <a:extLst>
            <a:ext uri="{FF2B5EF4-FFF2-40B4-BE49-F238E27FC236}">
              <a16:creationId xmlns:a16="http://schemas.microsoft.com/office/drawing/2014/main" id="{552DB857-FBC9-97EC-D3B4-9D6E1D0058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684216</xdr:colOff>
      <xdr:row>1</xdr:row>
      <xdr:rowOff>129068</xdr:rowOff>
    </xdr:from>
    <xdr:to>
      <xdr:col>7</xdr:col>
      <xdr:colOff>423641</xdr:colOff>
      <xdr:row>6</xdr:row>
      <xdr:rowOff>126393</xdr:rowOff>
    </xdr:to>
    <xdr:grpSp>
      <xdr:nvGrpSpPr>
        <xdr:cNvPr id="12" name="Group 11">
          <a:extLst>
            <a:ext uri="{FF2B5EF4-FFF2-40B4-BE49-F238E27FC236}">
              <a16:creationId xmlns:a16="http://schemas.microsoft.com/office/drawing/2014/main" id="{99608A41-31AC-121E-FD27-F96188D20151}"/>
            </a:ext>
          </a:extLst>
        </xdr:cNvPr>
        <xdr:cNvGrpSpPr/>
      </xdr:nvGrpSpPr>
      <xdr:grpSpPr>
        <a:xfrm>
          <a:off x="3779841" y="325918"/>
          <a:ext cx="1800000" cy="1080000"/>
          <a:chOff x="5521464" y="395521"/>
          <a:chExt cx="2203745" cy="719137"/>
        </a:xfrm>
      </xdr:grpSpPr>
      <xdr:sp macro="" textlink="">
        <xdr:nvSpPr>
          <xdr:cNvPr id="2" name="Rectangle: Top Corners Rounded 1">
            <a:extLst>
              <a:ext uri="{FF2B5EF4-FFF2-40B4-BE49-F238E27FC236}">
                <a16:creationId xmlns:a16="http://schemas.microsoft.com/office/drawing/2014/main" id="{8C6FAD44-CA0F-F9C6-9B98-822DA604A9F7}"/>
              </a:ext>
            </a:extLst>
          </xdr:cNvPr>
          <xdr:cNvSpPr/>
        </xdr:nvSpPr>
        <xdr:spPr>
          <a:xfrm rot="16200000">
            <a:off x="5573058" y="343927"/>
            <a:ext cx="719137" cy="822325"/>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3" name="Rectangle: Top Corners Rounded 2">
            <a:extLst>
              <a:ext uri="{FF2B5EF4-FFF2-40B4-BE49-F238E27FC236}">
                <a16:creationId xmlns:a16="http://schemas.microsoft.com/office/drawing/2014/main" id="{DAC6E8A2-19A3-03FA-07FD-CAED0D01689C}"/>
              </a:ext>
            </a:extLst>
          </xdr:cNvPr>
          <xdr:cNvSpPr/>
        </xdr:nvSpPr>
        <xdr:spPr>
          <a:xfrm rot="5400000">
            <a:off x="6335588" y="-287555"/>
            <a:ext cx="689794" cy="2089448"/>
          </a:xfrm>
          <a:prstGeom prst="round2Same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xnSp macro="">
        <xdr:nvCxnSpPr>
          <xdr:cNvPr id="5" name="Straight Connector 4">
            <a:extLst>
              <a:ext uri="{FF2B5EF4-FFF2-40B4-BE49-F238E27FC236}">
                <a16:creationId xmlns:a16="http://schemas.microsoft.com/office/drawing/2014/main" id="{B4A6BF46-6616-A0F4-4558-27FEF5E1D567}"/>
              </a:ext>
            </a:extLst>
          </xdr:cNvPr>
          <xdr:cNvCxnSpPr/>
        </xdr:nvCxnSpPr>
        <xdr:spPr>
          <a:xfrm>
            <a:off x="6068811" y="533021"/>
            <a:ext cx="0" cy="511175"/>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7" name="TextBox 6">
            <a:extLst>
              <a:ext uri="{FF2B5EF4-FFF2-40B4-BE49-F238E27FC236}">
                <a16:creationId xmlns:a16="http://schemas.microsoft.com/office/drawing/2014/main" id="{0646BF16-CC2E-8F05-AAE5-1FE45E88C049}"/>
              </a:ext>
            </a:extLst>
          </xdr:cNvPr>
          <xdr:cNvSpPr txBox="1"/>
        </xdr:nvSpPr>
        <xdr:spPr>
          <a:xfrm>
            <a:off x="6083155" y="517753"/>
            <a:ext cx="1597623" cy="3046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AU" sz="1200" b="1">
                <a:solidFill>
                  <a:schemeClr val="tx2"/>
                </a:solidFill>
              </a:rPr>
              <a:t>Properities</a:t>
            </a:r>
            <a:r>
              <a:rPr lang="en-AU" sz="1100">
                <a:solidFill>
                  <a:schemeClr val="tx2"/>
                </a:solidFill>
              </a:rPr>
              <a:t> </a:t>
            </a:r>
            <a:r>
              <a:rPr lang="en-AU" sz="1100" b="1">
                <a:solidFill>
                  <a:schemeClr val="tx2"/>
                </a:solidFill>
              </a:rPr>
              <a:t>sold</a:t>
            </a:r>
          </a:p>
          <a:p>
            <a:endParaRPr lang="en-AU" sz="1100"/>
          </a:p>
        </xdr:txBody>
      </xdr:sp>
    </xdr:grpSp>
    <xdr:clientData/>
  </xdr:twoCellAnchor>
  <xdr:twoCellAnchor editAs="oneCell">
    <xdr:from>
      <xdr:col>5</xdr:col>
      <xdr:colOff>758826</xdr:colOff>
      <xdr:row>2</xdr:row>
      <xdr:rowOff>130176</xdr:rowOff>
    </xdr:from>
    <xdr:to>
      <xdr:col>6</xdr:col>
      <xdr:colOff>50801</xdr:colOff>
      <xdr:row>3</xdr:row>
      <xdr:rowOff>250826</xdr:rowOff>
    </xdr:to>
    <xdr:pic>
      <xdr:nvPicPr>
        <xdr:cNvPr id="10" name="Graphic 9" descr="Home with solid fill">
          <a:extLst>
            <a:ext uri="{FF2B5EF4-FFF2-40B4-BE49-F238E27FC236}">
              <a16:creationId xmlns:a16="http://schemas.microsoft.com/office/drawing/2014/main" id="{5005645A-F47C-EFCE-BE89-E2BDCC1DECF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54451" y="523876"/>
          <a:ext cx="317500" cy="317500"/>
        </a:xfrm>
        <a:prstGeom prst="rect">
          <a:avLst/>
        </a:prstGeom>
      </xdr:spPr>
    </xdr:pic>
    <xdr:clientData/>
  </xdr:twoCellAnchor>
  <xdr:twoCellAnchor>
    <xdr:from>
      <xdr:col>10</xdr:col>
      <xdr:colOff>177810</xdr:colOff>
      <xdr:row>1</xdr:row>
      <xdr:rowOff>168274</xdr:rowOff>
    </xdr:from>
    <xdr:to>
      <xdr:col>13</xdr:col>
      <xdr:colOff>387135</xdr:colOff>
      <xdr:row>6</xdr:row>
      <xdr:rowOff>165599</xdr:rowOff>
    </xdr:to>
    <xdr:grpSp>
      <xdr:nvGrpSpPr>
        <xdr:cNvPr id="11" name="Group 10">
          <a:extLst>
            <a:ext uri="{FF2B5EF4-FFF2-40B4-BE49-F238E27FC236}">
              <a16:creationId xmlns:a16="http://schemas.microsoft.com/office/drawing/2014/main" id="{09650A14-427C-6C67-FE8C-B27062B6D90A}"/>
            </a:ext>
          </a:extLst>
        </xdr:cNvPr>
        <xdr:cNvGrpSpPr/>
      </xdr:nvGrpSpPr>
      <xdr:grpSpPr>
        <a:xfrm>
          <a:off x="7912110" y="365124"/>
          <a:ext cx="1800000" cy="1080000"/>
          <a:chOff x="8551442" y="436977"/>
          <a:chExt cx="1875616" cy="917575"/>
        </a:xfrm>
      </xdr:grpSpPr>
      <xdr:sp macro="" textlink="">
        <xdr:nvSpPr>
          <xdr:cNvPr id="61" name="Rectangle: Top Corners Rounded 60">
            <a:extLst>
              <a:ext uri="{FF2B5EF4-FFF2-40B4-BE49-F238E27FC236}">
                <a16:creationId xmlns:a16="http://schemas.microsoft.com/office/drawing/2014/main" id="{8A931466-32CE-5925-906D-970AF04CD9C5}"/>
              </a:ext>
            </a:extLst>
          </xdr:cNvPr>
          <xdr:cNvSpPr/>
        </xdr:nvSpPr>
        <xdr:spPr>
          <a:xfrm rot="16200000">
            <a:off x="8440180" y="548239"/>
            <a:ext cx="917575" cy="695051"/>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nvGrpSpPr>
          <xdr:cNvPr id="8" name="Group 7">
            <a:extLst>
              <a:ext uri="{FF2B5EF4-FFF2-40B4-BE49-F238E27FC236}">
                <a16:creationId xmlns:a16="http://schemas.microsoft.com/office/drawing/2014/main" id="{9313DC1C-CBB4-3540-E5BB-7326D89EDF54}"/>
              </a:ext>
            </a:extLst>
          </xdr:cNvPr>
          <xdr:cNvGrpSpPr/>
        </xdr:nvGrpSpPr>
        <xdr:grpSpPr>
          <a:xfrm>
            <a:off x="8753834" y="444456"/>
            <a:ext cx="1673224" cy="876296"/>
            <a:chOff x="8758648" y="498500"/>
            <a:chExt cx="1679575" cy="857247"/>
          </a:xfrm>
        </xdr:grpSpPr>
        <xdr:sp macro="" textlink="">
          <xdr:nvSpPr>
            <xdr:cNvPr id="62" name="Rectangle: Top Corners Rounded 61">
              <a:extLst>
                <a:ext uri="{FF2B5EF4-FFF2-40B4-BE49-F238E27FC236}">
                  <a16:creationId xmlns:a16="http://schemas.microsoft.com/office/drawing/2014/main" id="{B0A1E6C7-F540-D82B-47A5-78B3E3E277FF}"/>
                </a:ext>
              </a:extLst>
            </xdr:cNvPr>
            <xdr:cNvSpPr/>
          </xdr:nvSpPr>
          <xdr:spPr>
            <a:xfrm rot="5400000">
              <a:off x="9169812" y="87336"/>
              <a:ext cx="857247" cy="1679575"/>
            </a:xfrm>
            <a:prstGeom prst="round2Same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xnSp macro="">
          <xdr:nvCxnSpPr>
            <xdr:cNvPr id="63" name="Straight Connector 62">
              <a:extLst>
                <a:ext uri="{FF2B5EF4-FFF2-40B4-BE49-F238E27FC236}">
                  <a16:creationId xmlns:a16="http://schemas.microsoft.com/office/drawing/2014/main" id="{6A6E3AA6-7A1C-24F7-8098-9D96C7AE777E}"/>
                </a:ext>
              </a:extLst>
            </xdr:cNvPr>
            <xdr:cNvCxnSpPr/>
          </xdr:nvCxnSpPr>
          <xdr:spPr>
            <a:xfrm>
              <a:off x="9139743" y="635248"/>
              <a:ext cx="0" cy="523606"/>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64" name="TextBox 63">
              <a:extLst>
                <a:ext uri="{FF2B5EF4-FFF2-40B4-BE49-F238E27FC236}">
                  <a16:creationId xmlns:a16="http://schemas.microsoft.com/office/drawing/2014/main" id="{E76AC990-A6B4-D4FE-7006-2BD2A1203D4F}"/>
                </a:ext>
              </a:extLst>
            </xdr:cNvPr>
            <xdr:cNvSpPr txBox="1"/>
          </xdr:nvSpPr>
          <xdr:spPr>
            <a:xfrm>
              <a:off x="9260007" y="575628"/>
              <a:ext cx="935165" cy="3668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AU" sz="1200" b="1">
                  <a:solidFill>
                    <a:schemeClr val="tx2"/>
                  </a:solidFill>
                </a:rPr>
                <a:t>House</a:t>
              </a:r>
              <a:endParaRPr lang="en-AU" sz="1100" b="1">
                <a:solidFill>
                  <a:schemeClr val="tx2"/>
                </a:solidFill>
              </a:endParaRPr>
            </a:p>
            <a:p>
              <a:endParaRPr lang="en-AU" sz="1100"/>
            </a:p>
          </xdr:txBody>
        </xdr:sp>
      </xdr:grpSp>
    </xdr:grpSp>
    <xdr:clientData/>
  </xdr:twoCellAnchor>
  <xdr:twoCellAnchor>
    <xdr:from>
      <xdr:col>7</xdr:col>
      <xdr:colOff>593722</xdr:colOff>
      <xdr:row>1</xdr:row>
      <xdr:rowOff>170272</xdr:rowOff>
    </xdr:from>
    <xdr:to>
      <xdr:col>9</xdr:col>
      <xdr:colOff>345847</xdr:colOff>
      <xdr:row>6</xdr:row>
      <xdr:rowOff>167597</xdr:rowOff>
    </xdr:to>
    <xdr:grpSp>
      <xdr:nvGrpSpPr>
        <xdr:cNvPr id="65" name="Group 64">
          <a:extLst>
            <a:ext uri="{FF2B5EF4-FFF2-40B4-BE49-F238E27FC236}">
              <a16:creationId xmlns:a16="http://schemas.microsoft.com/office/drawing/2014/main" id="{80CB5B70-C52A-42AC-A2B9-67C6C3F7990A}"/>
            </a:ext>
          </a:extLst>
        </xdr:cNvPr>
        <xdr:cNvGrpSpPr/>
      </xdr:nvGrpSpPr>
      <xdr:grpSpPr>
        <a:xfrm>
          <a:off x="5749922" y="367122"/>
          <a:ext cx="1800000" cy="1080000"/>
          <a:chOff x="5933606" y="412147"/>
          <a:chExt cx="2239284" cy="719137"/>
        </a:xfrm>
      </xdr:grpSpPr>
      <xdr:sp macro="" textlink="">
        <xdr:nvSpPr>
          <xdr:cNvPr id="66" name="Rectangle: Top Corners Rounded 65">
            <a:extLst>
              <a:ext uri="{FF2B5EF4-FFF2-40B4-BE49-F238E27FC236}">
                <a16:creationId xmlns:a16="http://schemas.microsoft.com/office/drawing/2014/main" id="{69CC1D60-D787-0F7E-0DCA-713405D1DE4F}"/>
              </a:ext>
            </a:extLst>
          </xdr:cNvPr>
          <xdr:cNvSpPr/>
        </xdr:nvSpPr>
        <xdr:spPr>
          <a:xfrm rot="16200000">
            <a:off x="5985200" y="360553"/>
            <a:ext cx="719137" cy="822326"/>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67" name="Rectangle: Top Corners Rounded 66">
            <a:extLst>
              <a:ext uri="{FF2B5EF4-FFF2-40B4-BE49-F238E27FC236}">
                <a16:creationId xmlns:a16="http://schemas.microsoft.com/office/drawing/2014/main" id="{1E62AA4B-9A3E-B322-A572-6C1D9BEB6AE9}"/>
              </a:ext>
            </a:extLst>
          </xdr:cNvPr>
          <xdr:cNvSpPr/>
        </xdr:nvSpPr>
        <xdr:spPr>
          <a:xfrm rot="5400000">
            <a:off x="6783270" y="-279484"/>
            <a:ext cx="689794" cy="2089447"/>
          </a:xfrm>
          <a:prstGeom prst="round2Same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xnSp macro="">
        <xdr:nvCxnSpPr>
          <xdr:cNvPr id="68" name="Straight Connector 67">
            <a:extLst>
              <a:ext uri="{FF2B5EF4-FFF2-40B4-BE49-F238E27FC236}">
                <a16:creationId xmlns:a16="http://schemas.microsoft.com/office/drawing/2014/main" id="{55C64FAB-3D61-4022-0398-D7286AB0853D}"/>
              </a:ext>
            </a:extLst>
          </xdr:cNvPr>
          <xdr:cNvCxnSpPr/>
        </xdr:nvCxnSpPr>
        <xdr:spPr>
          <a:xfrm>
            <a:off x="6566903" y="525158"/>
            <a:ext cx="0" cy="511175"/>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69" name="TextBox 68">
            <a:extLst>
              <a:ext uri="{FF2B5EF4-FFF2-40B4-BE49-F238E27FC236}">
                <a16:creationId xmlns:a16="http://schemas.microsoft.com/office/drawing/2014/main" id="{5E3679D1-497C-D2FF-2D45-147C380A7077}"/>
              </a:ext>
            </a:extLst>
          </xdr:cNvPr>
          <xdr:cNvSpPr txBox="1"/>
        </xdr:nvSpPr>
        <xdr:spPr>
          <a:xfrm>
            <a:off x="6591222" y="510182"/>
            <a:ext cx="1366372" cy="3213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AU" sz="1200" b="1">
                <a:solidFill>
                  <a:schemeClr val="tx2"/>
                </a:solidFill>
              </a:rPr>
              <a:t>Median</a:t>
            </a:r>
            <a:r>
              <a:rPr lang="en-AU" sz="1200" b="1" baseline="0">
                <a:solidFill>
                  <a:schemeClr val="tx2"/>
                </a:solidFill>
              </a:rPr>
              <a:t> Price</a:t>
            </a:r>
            <a:endParaRPr lang="en-AU" sz="1100" b="1">
              <a:solidFill>
                <a:schemeClr val="tx2"/>
              </a:solidFill>
            </a:endParaRPr>
          </a:p>
        </xdr:txBody>
      </xdr:sp>
    </xdr:grpSp>
    <xdr:clientData/>
  </xdr:twoCellAnchor>
  <xdr:twoCellAnchor>
    <xdr:from>
      <xdr:col>14</xdr:col>
      <xdr:colOff>268291</xdr:colOff>
      <xdr:row>2</xdr:row>
      <xdr:rowOff>5173</xdr:rowOff>
    </xdr:from>
    <xdr:to>
      <xdr:col>17</xdr:col>
      <xdr:colOff>477616</xdr:colOff>
      <xdr:row>7</xdr:row>
      <xdr:rowOff>2498</xdr:rowOff>
    </xdr:to>
    <xdr:grpSp>
      <xdr:nvGrpSpPr>
        <xdr:cNvPr id="70" name="Group 69">
          <a:extLst>
            <a:ext uri="{FF2B5EF4-FFF2-40B4-BE49-F238E27FC236}">
              <a16:creationId xmlns:a16="http://schemas.microsoft.com/office/drawing/2014/main" id="{884B84F3-C506-48EB-B892-292E7F3A28BC}"/>
            </a:ext>
          </a:extLst>
        </xdr:cNvPr>
        <xdr:cNvGrpSpPr/>
      </xdr:nvGrpSpPr>
      <xdr:grpSpPr>
        <a:xfrm>
          <a:off x="10123491" y="398873"/>
          <a:ext cx="1800000" cy="1080000"/>
          <a:chOff x="5521464" y="395521"/>
          <a:chExt cx="2228838" cy="719137"/>
        </a:xfrm>
      </xdr:grpSpPr>
      <xdr:sp macro="" textlink="">
        <xdr:nvSpPr>
          <xdr:cNvPr id="71" name="Rectangle: Top Corners Rounded 70">
            <a:extLst>
              <a:ext uri="{FF2B5EF4-FFF2-40B4-BE49-F238E27FC236}">
                <a16:creationId xmlns:a16="http://schemas.microsoft.com/office/drawing/2014/main" id="{0A29419E-011D-FEC5-9B17-75B99021CAE4}"/>
              </a:ext>
            </a:extLst>
          </xdr:cNvPr>
          <xdr:cNvSpPr/>
        </xdr:nvSpPr>
        <xdr:spPr>
          <a:xfrm rot="16200000">
            <a:off x="5573058" y="343927"/>
            <a:ext cx="719137" cy="822325"/>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72" name="Rectangle: Top Corners Rounded 71">
            <a:extLst>
              <a:ext uri="{FF2B5EF4-FFF2-40B4-BE49-F238E27FC236}">
                <a16:creationId xmlns:a16="http://schemas.microsoft.com/office/drawing/2014/main" id="{0E913212-F7B3-BB84-91D8-61D4F39EFDEB}"/>
              </a:ext>
            </a:extLst>
          </xdr:cNvPr>
          <xdr:cNvSpPr/>
        </xdr:nvSpPr>
        <xdr:spPr>
          <a:xfrm rot="5400000">
            <a:off x="6360682" y="-300199"/>
            <a:ext cx="689794" cy="2089447"/>
          </a:xfrm>
          <a:prstGeom prst="round2Same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xnSp macro="">
        <xdr:nvCxnSpPr>
          <xdr:cNvPr id="73" name="Straight Connector 72">
            <a:extLst>
              <a:ext uri="{FF2B5EF4-FFF2-40B4-BE49-F238E27FC236}">
                <a16:creationId xmlns:a16="http://schemas.microsoft.com/office/drawing/2014/main" id="{8BB9B584-31D5-B8C8-3297-65976A12CD7B}"/>
              </a:ext>
            </a:extLst>
          </xdr:cNvPr>
          <xdr:cNvCxnSpPr/>
        </xdr:nvCxnSpPr>
        <xdr:spPr>
          <a:xfrm>
            <a:off x="6174072" y="503852"/>
            <a:ext cx="0" cy="511175"/>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74" name="TextBox 73">
            <a:extLst>
              <a:ext uri="{FF2B5EF4-FFF2-40B4-BE49-F238E27FC236}">
                <a16:creationId xmlns:a16="http://schemas.microsoft.com/office/drawing/2014/main" id="{9C5CE457-1B4A-D9FD-BD88-02CF6B36F1CE}"/>
              </a:ext>
            </a:extLst>
          </xdr:cNvPr>
          <xdr:cNvSpPr txBox="1"/>
        </xdr:nvSpPr>
        <xdr:spPr>
          <a:xfrm>
            <a:off x="6303515" y="523153"/>
            <a:ext cx="823440" cy="2452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AU" sz="1200" b="1">
                <a:solidFill>
                  <a:schemeClr val="tx2"/>
                </a:solidFill>
              </a:rPr>
              <a:t>Unit</a:t>
            </a:r>
            <a:endParaRPr lang="en-AU" sz="1100" b="1">
              <a:solidFill>
                <a:schemeClr val="tx2"/>
              </a:solidFill>
            </a:endParaRPr>
          </a:p>
          <a:p>
            <a:endParaRPr lang="en-AU" sz="1100"/>
          </a:p>
        </xdr:txBody>
      </xdr:sp>
    </xdr:grpSp>
    <xdr:clientData/>
  </xdr:twoCellAnchor>
  <xdr:twoCellAnchor editAs="oneCell">
    <xdr:from>
      <xdr:col>14</xdr:col>
      <xdr:colOff>473076</xdr:colOff>
      <xdr:row>3</xdr:row>
      <xdr:rowOff>60326</xdr:rowOff>
    </xdr:from>
    <xdr:to>
      <xdr:col>15</xdr:col>
      <xdr:colOff>260351</xdr:colOff>
      <xdr:row>4</xdr:row>
      <xdr:rowOff>88901</xdr:rowOff>
    </xdr:to>
    <xdr:pic>
      <xdr:nvPicPr>
        <xdr:cNvPr id="75" name="Graphic 74" descr="Home with solid fill">
          <a:extLst>
            <a:ext uri="{FF2B5EF4-FFF2-40B4-BE49-F238E27FC236}">
              <a16:creationId xmlns:a16="http://schemas.microsoft.com/office/drawing/2014/main" id="{FA07BBA3-4EA4-4E0F-82A3-5A54EB53B7B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328276" y="650876"/>
          <a:ext cx="317500" cy="317500"/>
        </a:xfrm>
        <a:prstGeom prst="rect">
          <a:avLst/>
        </a:prstGeom>
      </xdr:spPr>
    </xdr:pic>
    <xdr:clientData/>
  </xdr:twoCellAnchor>
  <xdr:twoCellAnchor editAs="oneCell">
    <xdr:from>
      <xdr:col>10</xdr:col>
      <xdr:colOff>428626</xdr:colOff>
      <xdr:row>3</xdr:row>
      <xdr:rowOff>120651</xdr:rowOff>
    </xdr:from>
    <xdr:to>
      <xdr:col>11</xdr:col>
      <xdr:colOff>215901</xdr:colOff>
      <xdr:row>4</xdr:row>
      <xdr:rowOff>149226</xdr:rowOff>
    </xdr:to>
    <xdr:pic>
      <xdr:nvPicPr>
        <xdr:cNvPr id="76" name="Graphic 75" descr="Home with solid fill">
          <a:extLst>
            <a:ext uri="{FF2B5EF4-FFF2-40B4-BE49-F238E27FC236}">
              <a16:creationId xmlns:a16="http://schemas.microsoft.com/office/drawing/2014/main" id="{643B854D-E656-4E03-804E-419D86DB674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162926" y="711201"/>
          <a:ext cx="317500" cy="317500"/>
        </a:xfrm>
        <a:prstGeom prst="rect">
          <a:avLst/>
        </a:prstGeom>
      </xdr:spPr>
    </xdr:pic>
    <xdr:clientData/>
  </xdr:twoCellAnchor>
  <xdr:twoCellAnchor editAs="oneCell">
    <xdr:from>
      <xdr:col>7</xdr:col>
      <xdr:colOff>768351</xdr:colOff>
      <xdr:row>3</xdr:row>
      <xdr:rowOff>57151</xdr:rowOff>
    </xdr:from>
    <xdr:to>
      <xdr:col>7</xdr:col>
      <xdr:colOff>1085851</xdr:colOff>
      <xdr:row>4</xdr:row>
      <xdr:rowOff>85726</xdr:rowOff>
    </xdr:to>
    <xdr:pic>
      <xdr:nvPicPr>
        <xdr:cNvPr id="77" name="Graphic 76" descr="Home with solid fill">
          <a:extLst>
            <a:ext uri="{FF2B5EF4-FFF2-40B4-BE49-F238E27FC236}">
              <a16:creationId xmlns:a16="http://schemas.microsoft.com/office/drawing/2014/main" id="{F2202E1D-4647-4936-B4B1-3D6F7A61F65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24551" y="647701"/>
          <a:ext cx="317500" cy="317500"/>
        </a:xfrm>
        <a:prstGeom prst="rect">
          <a:avLst/>
        </a:prstGeom>
      </xdr:spPr>
    </xdr:pic>
    <xdr:clientData/>
  </xdr:twoCellAnchor>
  <xdr:twoCellAnchor editAs="oneCell">
    <xdr:from>
      <xdr:col>1</xdr:col>
      <xdr:colOff>241300</xdr:colOff>
      <xdr:row>8</xdr:row>
      <xdr:rowOff>47626</xdr:rowOff>
    </xdr:from>
    <xdr:to>
      <xdr:col>4</xdr:col>
      <xdr:colOff>88900</xdr:colOff>
      <xdr:row>13</xdr:row>
      <xdr:rowOff>107950</xdr:rowOff>
    </xdr:to>
    <mc:AlternateContent xmlns:mc="http://schemas.openxmlformats.org/markup-compatibility/2006" xmlns:a14="http://schemas.microsoft.com/office/drawing/2010/main">
      <mc:Choice Requires="a14">
        <xdr:graphicFrame macro="">
          <xdr:nvGraphicFramePr>
            <xdr:cNvPr id="81" name="Suburb 1">
              <a:extLst>
                <a:ext uri="{FF2B5EF4-FFF2-40B4-BE49-F238E27FC236}">
                  <a16:creationId xmlns:a16="http://schemas.microsoft.com/office/drawing/2014/main" id="{3A5442A9-88B2-4C0A-B94F-24D490E6CF07}"/>
                </a:ext>
              </a:extLst>
            </xdr:cNvPr>
            <xdr:cNvGraphicFramePr/>
          </xdr:nvGraphicFramePr>
          <xdr:xfrm>
            <a:off x="0" y="0"/>
            <a:ext cx="0" cy="0"/>
          </xdr:xfrm>
          <a:graphic>
            <a:graphicData uri="http://schemas.microsoft.com/office/drawing/2010/slicer">
              <sle:slicer xmlns:sle="http://schemas.microsoft.com/office/drawing/2010/slicer" name="Suburb 1"/>
            </a:graphicData>
          </a:graphic>
        </xdr:graphicFrame>
      </mc:Choice>
      <mc:Fallback xmlns="">
        <xdr:sp macro="" textlink="">
          <xdr:nvSpPr>
            <xdr:cNvPr id="0" name=""/>
            <xdr:cNvSpPr>
              <a:spLocks noTextEdit="1"/>
            </xdr:cNvSpPr>
          </xdr:nvSpPr>
          <xdr:spPr>
            <a:xfrm>
              <a:off x="657225" y="1720851"/>
              <a:ext cx="1828800" cy="1044574"/>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352425</xdr:colOff>
      <xdr:row>14</xdr:row>
      <xdr:rowOff>41275</xdr:rowOff>
    </xdr:from>
    <xdr:to>
      <xdr:col>4</xdr:col>
      <xdr:colOff>200025</xdr:colOff>
      <xdr:row>26</xdr:row>
      <xdr:rowOff>102653</xdr:rowOff>
    </xdr:to>
    <mc:AlternateContent xmlns:mc="http://schemas.openxmlformats.org/markup-compatibility/2006" xmlns:a14="http://schemas.microsoft.com/office/drawing/2010/main">
      <mc:Choice Requires="a14">
        <xdr:graphicFrame macro="">
          <xdr:nvGraphicFramePr>
            <xdr:cNvPr id="4" name="Price Range 1">
              <a:extLst>
                <a:ext uri="{FF2B5EF4-FFF2-40B4-BE49-F238E27FC236}">
                  <a16:creationId xmlns:a16="http://schemas.microsoft.com/office/drawing/2014/main" id="{CDCF7813-D4FB-4D7E-AEE6-532D884425CF}"/>
                </a:ext>
              </a:extLst>
            </xdr:cNvPr>
            <xdr:cNvGraphicFramePr/>
          </xdr:nvGraphicFramePr>
          <xdr:xfrm>
            <a:off x="0" y="0"/>
            <a:ext cx="0" cy="0"/>
          </xdr:xfrm>
          <a:graphic>
            <a:graphicData uri="http://schemas.microsoft.com/office/drawing/2010/slicer">
              <sle:slicer xmlns:sle="http://schemas.microsoft.com/office/drawing/2010/slicer" name="Price Range 1"/>
            </a:graphicData>
          </a:graphic>
        </xdr:graphicFrame>
      </mc:Choice>
      <mc:Fallback xmlns="">
        <xdr:sp macro="" textlink="">
          <xdr:nvSpPr>
            <xdr:cNvPr id="0" name=""/>
            <xdr:cNvSpPr>
              <a:spLocks noTextEdit="1"/>
            </xdr:cNvSpPr>
          </xdr:nvSpPr>
          <xdr:spPr>
            <a:xfrm>
              <a:off x="768350" y="2895600"/>
              <a:ext cx="1828800" cy="2423578"/>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0</xdr:colOff>
      <xdr:row>10</xdr:row>
      <xdr:rowOff>19050</xdr:rowOff>
    </xdr:from>
    <xdr:to>
      <xdr:col>15</xdr:col>
      <xdr:colOff>461963</xdr:colOff>
      <xdr:row>23</xdr:row>
      <xdr:rowOff>123825</xdr:rowOff>
    </xdr:to>
    <xdr:graphicFrame macro="">
      <xdr:nvGraphicFramePr>
        <xdr:cNvPr id="6" name="Chart 5">
          <a:extLst>
            <a:ext uri="{FF2B5EF4-FFF2-40B4-BE49-F238E27FC236}">
              <a16:creationId xmlns:a16="http://schemas.microsoft.com/office/drawing/2014/main" id="{3676598E-65D0-45E9-A3F7-E7FAEC628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568325</xdr:colOff>
      <xdr:row>4</xdr:row>
      <xdr:rowOff>53975</xdr:rowOff>
    </xdr:from>
    <xdr:to>
      <xdr:col>6</xdr:col>
      <xdr:colOff>990600</xdr:colOff>
      <xdr:row>5</xdr:row>
      <xdr:rowOff>85725</xdr:rowOff>
    </xdr:to>
    <xdr:sp macro="" textlink="Sheet1!B6">
      <xdr:nvSpPr>
        <xdr:cNvPr id="9" name="TextBox 8">
          <a:extLst>
            <a:ext uri="{FF2B5EF4-FFF2-40B4-BE49-F238E27FC236}">
              <a16:creationId xmlns:a16="http://schemas.microsoft.com/office/drawing/2014/main" id="{D2C7CC34-418E-BA8B-4934-E2D9DFA22860}"/>
            </a:ext>
          </a:extLst>
        </xdr:cNvPr>
        <xdr:cNvSpPr txBox="1"/>
      </xdr:nvSpPr>
      <xdr:spPr>
        <a:xfrm>
          <a:off x="4689475" y="933450"/>
          <a:ext cx="422275" cy="234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BA000E-386B-4DD0-BA5A-9647A421EAA9}" type="TxLink">
            <a:rPr lang="en-US" sz="1200" b="1" i="0" u="none" strike="noStrike">
              <a:solidFill>
                <a:srgbClr val="000000"/>
              </a:solidFill>
              <a:latin typeface="Century Gothic"/>
            </a:rPr>
            <a:t>85</a:t>
          </a:fld>
          <a:endParaRPr lang="en-AU" sz="1200" b="1"/>
        </a:p>
      </xdr:txBody>
    </xdr:sp>
    <xdr:clientData/>
  </xdr:twoCellAnchor>
  <xdr:twoCellAnchor>
    <xdr:from>
      <xdr:col>12</xdr:col>
      <xdr:colOff>266700</xdr:colOff>
      <xdr:row>4</xdr:row>
      <xdr:rowOff>38100</xdr:rowOff>
    </xdr:from>
    <xdr:to>
      <xdr:col>13</xdr:col>
      <xdr:colOff>384175</xdr:colOff>
      <xdr:row>5</xdr:row>
      <xdr:rowOff>98425</xdr:rowOff>
    </xdr:to>
    <xdr:sp macro="" textlink="Sheet1!B4">
      <xdr:nvSpPr>
        <xdr:cNvPr id="14" name="TextBox 13">
          <a:extLst>
            <a:ext uri="{FF2B5EF4-FFF2-40B4-BE49-F238E27FC236}">
              <a16:creationId xmlns:a16="http://schemas.microsoft.com/office/drawing/2014/main" id="{FAA88278-0954-2E36-3DFF-F388636E72E9}"/>
            </a:ext>
          </a:extLst>
        </xdr:cNvPr>
        <xdr:cNvSpPr txBox="1"/>
      </xdr:nvSpPr>
      <xdr:spPr>
        <a:xfrm>
          <a:off x="9061450" y="917575"/>
          <a:ext cx="647700" cy="2635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F026BF-06EB-428E-9C82-71C950713DFB}" type="TxLink">
            <a:rPr lang="en-US" sz="1200" b="1" i="0" u="none" strike="noStrike">
              <a:solidFill>
                <a:srgbClr val="000000"/>
              </a:solidFill>
              <a:latin typeface="Century Gothic"/>
            </a:rPr>
            <a:t>21</a:t>
          </a:fld>
          <a:endParaRPr lang="en-AU" sz="1200" b="1"/>
        </a:p>
      </xdr:txBody>
    </xdr:sp>
    <xdr:clientData/>
  </xdr:twoCellAnchor>
  <xdr:twoCellAnchor>
    <xdr:from>
      <xdr:col>16</xdr:col>
      <xdr:colOff>225425</xdr:colOff>
      <xdr:row>4</xdr:row>
      <xdr:rowOff>82550</xdr:rowOff>
    </xdr:from>
    <xdr:to>
      <xdr:col>17</xdr:col>
      <xdr:colOff>400050</xdr:colOff>
      <xdr:row>5</xdr:row>
      <xdr:rowOff>88900</xdr:rowOff>
    </xdr:to>
    <xdr:sp macro="" textlink="Sheet1!B5">
      <xdr:nvSpPr>
        <xdr:cNvPr id="15" name="TextBox 14">
          <a:extLst>
            <a:ext uri="{FF2B5EF4-FFF2-40B4-BE49-F238E27FC236}">
              <a16:creationId xmlns:a16="http://schemas.microsoft.com/office/drawing/2014/main" id="{0D381785-3BAA-2830-7BD6-8C2AD14AB8E4}"/>
            </a:ext>
          </a:extLst>
        </xdr:cNvPr>
        <xdr:cNvSpPr txBox="1"/>
      </xdr:nvSpPr>
      <xdr:spPr>
        <a:xfrm>
          <a:off x="11141075" y="962025"/>
          <a:ext cx="704850"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1AA225-403C-4D15-AC6F-C12C14B9CDD0}" type="TxLink">
            <a:rPr lang="en-US" sz="1200" b="1" i="0" u="none" strike="noStrike">
              <a:solidFill>
                <a:srgbClr val="000000"/>
              </a:solidFill>
              <a:latin typeface="Century Gothic"/>
            </a:rPr>
            <a:t>64</a:t>
          </a:fld>
          <a:endParaRPr lang="en-AU" sz="1200" b="1"/>
        </a:p>
      </xdr:txBody>
    </xdr:sp>
    <xdr:clientData/>
  </xdr:twoCellAnchor>
  <xdr:twoCellAnchor>
    <xdr:from>
      <xdr:col>7</xdr:col>
      <xdr:colOff>1327150</xdr:colOff>
      <xdr:row>4</xdr:row>
      <xdr:rowOff>120650</xdr:rowOff>
    </xdr:from>
    <xdr:to>
      <xdr:col>9</xdr:col>
      <xdr:colOff>225424</xdr:colOff>
      <xdr:row>6</xdr:row>
      <xdr:rowOff>77805</xdr:rowOff>
    </xdr:to>
    <xdr:sp macro="" textlink="Sheet1!C11">
      <xdr:nvSpPr>
        <xdr:cNvPr id="16" name="TextBox 15">
          <a:extLst>
            <a:ext uri="{FF2B5EF4-FFF2-40B4-BE49-F238E27FC236}">
              <a16:creationId xmlns:a16="http://schemas.microsoft.com/office/drawing/2014/main" id="{1CFFAC3D-05E9-4D7D-9E19-D631CFC774FF}"/>
            </a:ext>
          </a:extLst>
        </xdr:cNvPr>
        <xdr:cNvSpPr txBox="1"/>
      </xdr:nvSpPr>
      <xdr:spPr>
        <a:xfrm>
          <a:off x="6483350" y="1000125"/>
          <a:ext cx="946149" cy="3572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21C9268-5EA8-4E5A-AE29-5CF90EFC5D00}" type="TxLink">
            <a:rPr lang="en-US" sz="1100" b="1" i="0" u="none" strike="noStrike">
              <a:solidFill>
                <a:srgbClr val="000000"/>
              </a:solidFill>
              <a:latin typeface="Century Gothic"/>
              <a:ea typeface="+mn-ea"/>
              <a:cs typeface="+mn-cs"/>
            </a:rPr>
            <a:t>1158333.333</a:t>
          </a:fld>
          <a:endParaRPr lang="en-AU" sz="1200" b="1" i="0" u="none" strike="noStrike">
            <a:solidFill>
              <a:srgbClr val="000000"/>
            </a:solidFill>
            <a:latin typeface="Century Gothic"/>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nita Budhathoki" refreshedDate="45726.841927314817" createdVersion="8" refreshedVersion="8" minRefreshableVersion="3" recordCount="406" xr:uid="{5B6DDEB6-B53E-4493-A6FE-81EF45E54160}">
  <cacheSource type="worksheet">
    <worksheetSource name="Burwood"/>
  </cacheSource>
  <cacheFields count="14">
    <cacheField name="Address" numFmtId="0">
      <sharedItems/>
    </cacheField>
    <cacheField name="Property type" numFmtId="0">
      <sharedItems count="2">
        <s v="UNIT"/>
        <s v="HOUSE"/>
      </sharedItems>
    </cacheField>
    <cacheField name="Sold BY" numFmtId="0">
      <sharedItems count="63">
        <s v="Urbane Real Estate Pty Ltd"/>
        <s v="Laing + Simmons Auburn | Lidcombe"/>
        <s v="Starr Partners Auburn"/>
        <s v="HS Partners"/>
        <s v="Ray White Auburn"/>
        <s v="Strathfield Partners Real Estate"/>
        <s v="N/A"/>
        <s v="Richardson &amp; Wrench Auburn"/>
        <s v="Phillip Daidone Realty"/>
        <s v="Gilmour Property Agents"/>
        <s v="Harvie Group"/>
        <s v="Stone Parramatta"/>
        <s v="Guardian Property Specialists"/>
        <s v="Colliers International - Sydney"/>
        <s v="Multi Dynamic Auburn"/>
        <s v="Belle Property Strathfield"/>
        <s v="First National Real Estate Waters &amp; Carpenter"/>
        <s v="Exclusive Residential Real Estate"/>
        <s v="Starr Partners Bella Vista"/>
        <s v="Seeto Real Estate"/>
        <s v="LJ Hooker Guildford | Granville"/>
        <s v="HS Partners Real Estate"/>
        <s v="Macquarie Real Estate"/>
        <s v="Leader Properties Real Estate"/>
        <s v="Waters &amp; Carpenter First National"/>
        <s v="Phillip Daidone Realty Berala, Regents Park, Auburn &amp; Lidcombe"/>
        <s v="Ray White La Malfa Group"/>
        <s v="Murdoch Lee Estate Agents"/>
        <s v="John B Grant Real Estate"/>
        <s v="Laing+Simmons - Merrylands"/>
        <s v="Ea Realty"/>
        <s v="MQ Realty"/>
        <s v="Re/Max Prestige"/>
        <s v="Ray White Green Square"/>
        <s v="LJ Hooker Chinatown"/>
        <s v="Horwood Nolan"/>
        <s v="Ray White Lidcombe"/>
        <s v="Raine And Horne Carlingford"/>
        <s v="@Realty"/>
        <s v="Century 21 Homezone Real Estate"/>
        <s v="Stone New Projects"/>
        <s v="Richardson &amp; Wrench Pyrmont/Glebe"/>
        <s v="McGrath Hunters Hill (F)"/>
        <s v="LJ Hooker Burwood"/>
        <s v="Australian Property Alliance Management"/>
        <s v="Rich And Oliva"/>
        <s v="Raine &amp; Horne Lindfield"/>
        <s v="McGrath Strathfield"/>
        <s v="V.J Ray Pty Ltd - Campsie"/>
        <s v="Innerwest Property"/>
        <s v="Myproperty - Epping"/>
        <s v="Rich And Oliva Real Estate"/>
        <s v="Ray White Zoom Group"/>
        <s v="Ray White Elevate Group"/>
        <s v="Lytin Real Estate"/>
        <s v="Imperial Star Investment"/>
        <s v="Jami Real Estate"/>
        <s v="Zoom Real Estate Burwood"/>
        <s v="Belle Property Concord"/>
        <s v="Raine &amp; Horne Concord / Strathfield"/>
        <s v="Century 21 Advantage"/>
        <s v="Cobdenhayson Drummoyne"/>
        <s v="Ray White Norwest"/>
      </sharedItems>
    </cacheField>
    <cacheField name="BED" numFmtId="0">
      <sharedItems/>
    </cacheField>
    <cacheField name="Bath" numFmtId="0">
      <sharedItems/>
    </cacheField>
    <cacheField name="CAR" numFmtId="0">
      <sharedItems/>
    </cacheField>
    <cacheField name="Sale Price" numFmtId="0">
      <sharedItems containsSemiMixedTypes="0" containsString="0" containsNumber="1" containsInteger="1" minValue="40000" maxValue="8500000"/>
    </cacheField>
    <cacheField name="Sale Date" numFmtId="14">
      <sharedItems containsSemiMixedTypes="0" containsNonDate="0" containsDate="1" containsString="0" minDate="2024-12-09T00:00:00" maxDate="2025-03-05T00:00:00" count="54">
        <d v="2025-03-04T00:00:00"/>
        <d v="2025-03-01T00:00:00"/>
        <d v="2025-02-28T00:00:00"/>
        <d v="2025-02-25T00:00:00"/>
        <d v="2025-02-24T00:00:00"/>
        <d v="2025-02-21T00:00:00"/>
        <d v="2025-02-20T00:00:00"/>
        <d v="2025-02-19T00:00:00"/>
        <d v="2025-02-17T00:00:00"/>
        <d v="2025-02-14T00:00:00"/>
        <d v="2025-02-13T00:00:00"/>
        <d v="2025-02-12T00:00:00"/>
        <d v="2025-02-10T00:00:00"/>
        <d v="2025-02-07T00:00:00"/>
        <d v="2025-02-06T00:00:00"/>
        <d v="2025-02-05T00:00:00"/>
        <d v="2025-02-03T00:00:00"/>
        <d v="2025-02-01T00:00:00"/>
        <d v="2025-01-31T00:00:00"/>
        <d v="2025-01-28T00:00:00"/>
        <d v="2025-01-24T00:00:00"/>
        <d v="2025-01-23T00:00:00"/>
        <d v="2025-01-22T00:00:00"/>
        <d v="2025-01-21T00:00:00"/>
        <d v="2025-01-20T00:00:00"/>
        <d v="2025-01-17T00:00:00"/>
        <d v="2025-01-16T00:00:00"/>
        <d v="2025-01-13T00:00:00"/>
        <d v="2025-01-10T00:00:00"/>
        <d v="2025-01-06T00:00:00"/>
        <d v="2025-01-03T00:00:00"/>
        <d v="2024-12-30T00:00:00"/>
        <d v="2024-12-23T00:00:00"/>
        <d v="2024-12-20T00:00:00"/>
        <d v="2024-12-19T00:00:00"/>
        <d v="2024-12-18T00:00:00"/>
        <d v="2024-12-17T00:00:00"/>
        <d v="2024-12-16T00:00:00"/>
        <d v="2024-12-13T00:00:00"/>
        <d v="2024-12-12T00:00:00"/>
        <d v="2024-12-11T00:00:00"/>
        <d v="2024-12-10T00:00:00"/>
        <d v="2024-12-09T00:00:00"/>
        <d v="2025-02-18T00:00:00"/>
        <d v="2025-02-15T00:00:00"/>
        <d v="2025-02-04T00:00:00"/>
        <d v="2025-02-02T00:00:00"/>
        <d v="2025-01-30T00:00:00"/>
        <d v="2025-01-29T00:00:00"/>
        <d v="2025-01-15T00:00:00"/>
        <d v="2025-01-14T00:00:00"/>
        <d v="2025-01-07T00:00:00"/>
        <d v="2024-12-27T00:00:00"/>
        <d v="2024-12-24T00:00:00"/>
      </sharedItems>
      <fieldGroup par="13"/>
    </cacheField>
    <cacheField name="Postcode" numFmtId="0">
      <sharedItems containsBlank="1"/>
    </cacheField>
    <cacheField name="Suburb" numFmtId="0">
      <sharedItems containsBlank="1" count="3">
        <s v="AUBURN"/>
        <s v="BURWOOD"/>
        <m/>
      </sharedItems>
    </cacheField>
    <cacheField name="Price Range" numFmtId="0">
      <sharedItems containsMixedTypes="1" containsNumber="1" containsInteger="1" minValue="0" maxValue="0" count="9">
        <s v="500K-600K"/>
        <s v="1M+"/>
        <s v="400K-500K"/>
        <s v="600K-700K"/>
        <s v="700K-800K"/>
        <s v="300K-400K"/>
        <n v="0"/>
        <s v="800K-900K"/>
        <s v="900K-1M"/>
      </sharedItems>
    </cacheField>
    <cacheField name="Months (Sale Date)" numFmtId="0" databaseField="0">
      <fieldGroup base="7">
        <rangePr groupBy="months" startDate="2024-12-09T00:00:00" endDate="2025-03-05T00:00:00"/>
        <groupItems count="14">
          <s v="&lt;9/12/2024"/>
          <s v="Jan"/>
          <s v="Feb"/>
          <s v="Mar"/>
          <s v="Apr"/>
          <s v="May"/>
          <s v="Jun"/>
          <s v="Jul"/>
          <s v="Aug"/>
          <s v="Sep"/>
          <s v="Oct"/>
          <s v="Nov"/>
          <s v="Dec"/>
          <s v="&gt;5/03/2025"/>
        </groupItems>
      </fieldGroup>
    </cacheField>
    <cacheField name="Quarters (Sale Date)" numFmtId="0" databaseField="0">
      <fieldGroup base="7">
        <rangePr groupBy="quarters" startDate="2024-12-09T00:00:00" endDate="2025-03-05T00:00:00"/>
        <groupItems count="6">
          <s v="&lt;9/12/2024"/>
          <s v="Qtr1"/>
          <s v="Qtr2"/>
          <s v="Qtr3"/>
          <s v="Qtr4"/>
          <s v="&gt;5/03/2025"/>
        </groupItems>
      </fieldGroup>
    </cacheField>
    <cacheField name="Years (Sale Date)" numFmtId="0" databaseField="0">
      <fieldGroup base="7">
        <rangePr groupBy="years" startDate="2024-12-09T00:00:00" endDate="2025-03-05T00:00:00"/>
        <groupItems count="4">
          <s v="&lt;9/12/2024"/>
          <s v="2024"/>
          <s v="2025"/>
          <s v="&gt;5/03/2025"/>
        </groupItems>
      </fieldGroup>
    </cacheField>
  </cacheFields>
  <extLst>
    <ext xmlns:x14="http://schemas.microsoft.com/office/spreadsheetml/2009/9/main" uri="{725AE2AE-9491-48be-B2B4-4EB974FC3084}">
      <x14:pivotCacheDefinition pivotCacheId="8456694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6">
  <r>
    <s v="53/61-71 QUEEN STREET AUBURN NSW 2144"/>
    <x v="0"/>
    <x v="0"/>
    <s v="2"/>
    <s v="2"/>
    <s v="1"/>
    <n v="582000"/>
    <x v="0"/>
    <s v="2144"/>
    <x v="0"/>
    <x v="0"/>
  </r>
  <r>
    <s v="42 PINE ROAD AUBURN NSW 2144"/>
    <x v="1"/>
    <x v="1"/>
    <s v="5"/>
    <s v="2"/>
    <s v="1"/>
    <n v="1588000"/>
    <x v="1"/>
    <s v="2144"/>
    <x v="0"/>
    <x v="1"/>
  </r>
  <r>
    <s v="43 KIRKHAM ROAD AUBURN NSW 2144"/>
    <x v="1"/>
    <x v="2"/>
    <s v="5"/>
    <s v="2"/>
    <s v="2"/>
    <n v="2350000"/>
    <x v="2"/>
    <s v="2144"/>
    <x v="0"/>
    <x v="1"/>
  </r>
  <r>
    <s v="20/27-29 MARY STREET AUBURN NSW 2144"/>
    <x v="0"/>
    <x v="2"/>
    <s v="2"/>
    <s v="2"/>
    <s v="N/A"/>
    <n v="587000"/>
    <x v="2"/>
    <s v="2144"/>
    <x v="0"/>
    <x v="0"/>
  </r>
  <r>
    <s v="41/2 MACQUARIE ROAD AUBURN NSW 2144"/>
    <x v="0"/>
    <x v="3"/>
    <s v="2"/>
    <s v="2"/>
    <s v="N/A"/>
    <n v="510000"/>
    <x v="3"/>
    <s v="2144"/>
    <x v="0"/>
    <x v="0"/>
  </r>
  <r>
    <s v="23 CARNEGIE STREET AUBURN NSW 2144"/>
    <x v="1"/>
    <x v="4"/>
    <s v="3"/>
    <s v="2"/>
    <s v="1"/>
    <n v="1266666"/>
    <x v="4"/>
    <s v="2144"/>
    <x v="0"/>
    <x v="1"/>
  </r>
  <r>
    <s v="97 CUMBERLAND ROAD AUBURN NSW 2144"/>
    <x v="1"/>
    <x v="2"/>
    <s v="4"/>
    <s v="2"/>
    <s v="2"/>
    <n v="1976000"/>
    <x v="4"/>
    <s v="2144"/>
    <x v="0"/>
    <x v="1"/>
  </r>
  <r>
    <s v="2/5 GIBBONS STREET AUBURN NSW 2144"/>
    <x v="0"/>
    <x v="2"/>
    <s v="2"/>
    <s v="1"/>
    <s v="1"/>
    <n v="490000"/>
    <x v="4"/>
    <s v="2144"/>
    <x v="0"/>
    <x v="2"/>
  </r>
  <r>
    <s v="31/6-14 PARK ROAD AUBURN NSW 2144"/>
    <x v="0"/>
    <x v="5"/>
    <s v="3"/>
    <s v="2"/>
    <s v="N/A"/>
    <n v="670000"/>
    <x v="4"/>
    <s v="2144"/>
    <x v="0"/>
    <x v="3"/>
  </r>
  <r>
    <s v="5105/57-59 QUEEN STREET AUBURN NSW 2144"/>
    <x v="0"/>
    <x v="6"/>
    <s v="3"/>
    <s v="2"/>
    <s v="1"/>
    <n v="680000"/>
    <x v="4"/>
    <s v="2144"/>
    <x v="0"/>
    <x v="3"/>
  </r>
  <r>
    <s v="3 BELGIUM STREET AUBURN NSW 2144"/>
    <x v="1"/>
    <x v="7"/>
    <s v="6"/>
    <s v="4"/>
    <s v="2"/>
    <n v="2220000"/>
    <x v="5"/>
    <s v="2144"/>
    <x v="0"/>
    <x v="1"/>
  </r>
  <r>
    <s v="4/11 GIBBONS STREET AUBURN NSW 2144"/>
    <x v="0"/>
    <x v="2"/>
    <s v="2"/>
    <s v="1"/>
    <s v="1"/>
    <n v="475000"/>
    <x v="5"/>
    <s v="2144"/>
    <x v="0"/>
    <x v="2"/>
  </r>
  <r>
    <s v="22/67A HARROW ROAD AUBURN NSW 2144"/>
    <x v="0"/>
    <x v="8"/>
    <s v="2"/>
    <s v="1"/>
    <s v="1"/>
    <n v="450000"/>
    <x v="5"/>
    <s v="2144"/>
    <x v="0"/>
    <x v="2"/>
  </r>
  <r>
    <s v="85/2 MACQUARIE ROAD AUBURN NSW 2144"/>
    <x v="0"/>
    <x v="1"/>
    <s v="3"/>
    <s v="2"/>
    <s v="1"/>
    <n v="640000"/>
    <x v="5"/>
    <s v="2144"/>
    <x v="0"/>
    <x v="3"/>
  </r>
  <r>
    <s v="64 MONA STREET AUBURN NSW 2144"/>
    <x v="1"/>
    <x v="2"/>
    <s v="3"/>
    <s v="2"/>
    <s v="1"/>
    <n v="1590000"/>
    <x v="5"/>
    <s v="2144"/>
    <x v="0"/>
    <x v="1"/>
  </r>
  <r>
    <s v="25 MOUNT AUBURN ROAD AUBURN NSW 2144"/>
    <x v="1"/>
    <x v="4"/>
    <s v="4"/>
    <s v="1"/>
    <s v="4"/>
    <n v="1690000"/>
    <x v="5"/>
    <s v="2144"/>
    <x v="0"/>
    <x v="1"/>
  </r>
  <r>
    <s v="14 NORMANBY ROAD AUBURN NSW 2144"/>
    <x v="1"/>
    <x v="6"/>
    <s v="4"/>
    <s v="2"/>
    <s v="1"/>
    <n v="550000"/>
    <x v="5"/>
    <s v="2144"/>
    <x v="0"/>
    <x v="0"/>
  </r>
  <r>
    <s v="24 CHISWICK ROAD AUBURN NSW 2144"/>
    <x v="1"/>
    <x v="9"/>
    <s v="3"/>
    <s v="1"/>
    <s v="N/A"/>
    <n v="1305000"/>
    <x v="6"/>
    <s v="2144"/>
    <x v="0"/>
    <x v="1"/>
  </r>
  <r>
    <s v="507/28B NORTHUMBERLAND ROAD AUBURN NSW 2144"/>
    <x v="0"/>
    <x v="10"/>
    <s v="2"/>
    <s v="2"/>
    <s v="1"/>
    <n v="715000"/>
    <x v="7"/>
    <s v="2144"/>
    <x v="0"/>
    <x v="4"/>
  </r>
  <r>
    <s v="67 MONA STREET AUBURN NSW 2144"/>
    <x v="1"/>
    <x v="2"/>
    <s v="2"/>
    <s v="1"/>
    <s v="1"/>
    <n v="1030000"/>
    <x v="8"/>
    <s v="2144"/>
    <x v="0"/>
    <x v="1"/>
  </r>
  <r>
    <s v="114/22-30 STATION ROAD AUBURN NSW 2144"/>
    <x v="0"/>
    <x v="6"/>
    <s v="1"/>
    <s v="1"/>
    <s v="1"/>
    <n v="415000"/>
    <x v="8"/>
    <s v="2144"/>
    <x v="0"/>
    <x v="2"/>
  </r>
  <r>
    <s v="8/55-57 SUSAN STREET AUBURN NSW 2144"/>
    <x v="0"/>
    <x v="11"/>
    <s v="4"/>
    <s v="3"/>
    <s v="N/A"/>
    <n v="1120000"/>
    <x v="8"/>
    <s v="2144"/>
    <x v="0"/>
    <x v="1"/>
  </r>
  <r>
    <s v="54 ALICE STREET AUBURN NSW 2144"/>
    <x v="1"/>
    <x v="2"/>
    <s v="3"/>
    <s v="3"/>
    <s v="1"/>
    <n v="1905000"/>
    <x v="9"/>
    <s v="2144"/>
    <x v="0"/>
    <x v="1"/>
  </r>
  <r>
    <s v="1/190 PARK ROAD AUBURN NSW 2144"/>
    <x v="0"/>
    <x v="12"/>
    <s v="3"/>
    <s v="2"/>
    <s v="N/A"/>
    <n v="700000"/>
    <x v="9"/>
    <s v="2144"/>
    <x v="0"/>
    <x v="3"/>
  </r>
  <r>
    <s v="11/2A UNION ROAD AUBURN NSW 2144"/>
    <x v="1"/>
    <x v="2"/>
    <s v="2"/>
    <s v="1"/>
    <s v="1"/>
    <n v="370000"/>
    <x v="9"/>
    <s v="2144"/>
    <x v="0"/>
    <x v="5"/>
  </r>
  <r>
    <s v="203 AUBURN ROAD AUBURN NSW 2144"/>
    <x v="1"/>
    <x v="8"/>
    <s v="5"/>
    <s v="2"/>
    <s v="1"/>
    <n v="1905000"/>
    <x v="10"/>
    <s v="2144"/>
    <x v="0"/>
    <x v="1"/>
  </r>
  <r>
    <s v="47 HAMPSTEAD ROAD AUBURN NSW 2144"/>
    <x v="1"/>
    <x v="6"/>
    <s v="2"/>
    <s v="2"/>
    <s v="1"/>
    <n v="650000"/>
    <x v="10"/>
    <s v="2144"/>
    <x v="0"/>
    <x v="3"/>
  </r>
  <r>
    <s v="6/85 NORTHUMBERLAND ROAD AUBURN NSW 2144"/>
    <x v="0"/>
    <x v="3"/>
    <s v="2"/>
    <s v="1"/>
    <s v="1"/>
    <n v="475000"/>
    <x v="10"/>
    <s v="2144"/>
    <x v="0"/>
    <x v="2"/>
  </r>
  <r>
    <s v="8 COVER STREET AUBURN NSW 2144"/>
    <x v="1"/>
    <x v="2"/>
    <s v="3"/>
    <s v="1"/>
    <s v="1"/>
    <n v="1280000"/>
    <x v="11"/>
    <s v="2144"/>
    <x v="0"/>
    <x v="1"/>
  </r>
  <r>
    <s v="22 PARK ROAD AUBURN NSW 2144"/>
    <x v="1"/>
    <x v="13"/>
    <s v="N/A"/>
    <s v="N/A"/>
    <s v="N/A"/>
    <n v="8500000"/>
    <x v="11"/>
    <s v="2144"/>
    <x v="0"/>
    <x v="1"/>
  </r>
  <r>
    <s v="24 PARK ROAD AUBURN NSW 2144"/>
    <x v="1"/>
    <x v="6"/>
    <s v="3"/>
    <s v="1"/>
    <s v="N/A"/>
    <n v="8500000"/>
    <x v="11"/>
    <s v="2144"/>
    <x v="0"/>
    <x v="1"/>
  </r>
  <r>
    <s v="2/15 MACQUARIE ROAD AUBURN NSW 2144"/>
    <x v="0"/>
    <x v="6"/>
    <s v="2"/>
    <s v="1"/>
    <s v="1"/>
    <n v="428000"/>
    <x v="12"/>
    <s v="2144"/>
    <x v="0"/>
    <x v="2"/>
  </r>
  <r>
    <s v="50/188 SOUTH PARADE AUBURN NSW 2144"/>
    <x v="0"/>
    <x v="14"/>
    <s v="2"/>
    <s v="2"/>
    <s v="2"/>
    <n v="570000"/>
    <x v="12"/>
    <s v="2144"/>
    <x v="0"/>
    <x v="0"/>
  </r>
  <r>
    <s v="132/2 MACQUARIE ROAD AUBURN NSW 2144"/>
    <x v="0"/>
    <x v="6"/>
    <s v="2"/>
    <s v="2"/>
    <s v="N/A"/>
    <n v="490000"/>
    <x v="13"/>
    <s v="2144"/>
    <x v="0"/>
    <x v="2"/>
  </r>
  <r>
    <s v="16 NORTH STREET AUBURN NSW 2144"/>
    <x v="1"/>
    <x v="2"/>
    <s v="5"/>
    <s v="3"/>
    <s v="2"/>
    <n v="2400000"/>
    <x v="13"/>
    <s v="2144"/>
    <x v="0"/>
    <x v="1"/>
  </r>
  <r>
    <s v="158/6-14 PARK ROAD AUBURN NSW 2144"/>
    <x v="0"/>
    <x v="15"/>
    <s v="2"/>
    <s v="2"/>
    <s v="N/A"/>
    <n v="642500"/>
    <x v="13"/>
    <s v="2144"/>
    <x v="0"/>
    <x v="3"/>
  </r>
  <r>
    <s v="805/28B NORTHUMBERLAND ROAD AUBURN NSW 2144"/>
    <x v="0"/>
    <x v="6"/>
    <s v="1"/>
    <s v="1"/>
    <s v="N/A"/>
    <n v="537000"/>
    <x v="14"/>
    <s v="2144"/>
    <x v="0"/>
    <x v="0"/>
  </r>
  <r>
    <s v="4/340 CHISHOLM ROAD AUBURN NSW 2144"/>
    <x v="0"/>
    <x v="6"/>
    <s v="N/A"/>
    <s v="N/A"/>
    <s v="2"/>
    <n v="1580000"/>
    <x v="15"/>
    <s v="2144"/>
    <x v="0"/>
    <x v="1"/>
  </r>
  <r>
    <s v="270A CUMBERLAND ROAD AUBURN NSW 2144"/>
    <x v="0"/>
    <x v="6"/>
    <s v="4"/>
    <s v="2"/>
    <s v="2"/>
    <n v="170000"/>
    <x v="15"/>
    <s v="2144"/>
    <x v="0"/>
    <x v="6"/>
  </r>
  <r>
    <s v="40A HELENA STREET AUBURN NSW 2144"/>
    <x v="1"/>
    <x v="16"/>
    <s v="3"/>
    <s v="3"/>
    <s v="1"/>
    <n v="1360000"/>
    <x v="15"/>
    <s v="2144"/>
    <x v="0"/>
    <x v="1"/>
  </r>
  <r>
    <s v="4/40-46 STATION ROAD AUBURN NSW 2144"/>
    <x v="0"/>
    <x v="2"/>
    <s v="3"/>
    <s v="2"/>
    <s v="1"/>
    <n v="659000"/>
    <x v="15"/>
    <s v="2144"/>
    <x v="0"/>
    <x v="3"/>
  </r>
  <r>
    <s v="8/10 DARTBROOK ROAD AUBURN NSW 2144"/>
    <x v="0"/>
    <x v="17"/>
    <s v="1"/>
    <s v="1"/>
    <s v="1"/>
    <n v="365000"/>
    <x v="16"/>
    <s v="2144"/>
    <x v="0"/>
    <x v="5"/>
  </r>
  <r>
    <s v="18/19 DARTBROOK ROAD AUBURN NSW 2144"/>
    <x v="0"/>
    <x v="2"/>
    <s v="1"/>
    <s v="1"/>
    <s v="1"/>
    <n v="418000"/>
    <x v="16"/>
    <s v="2144"/>
    <x v="0"/>
    <x v="2"/>
  </r>
  <r>
    <s v="1/55 NORTHUMBERLAND ROAD AUBURN NSW 2144"/>
    <x v="0"/>
    <x v="18"/>
    <s v="3"/>
    <s v="2"/>
    <s v="1"/>
    <n v="875000"/>
    <x v="16"/>
    <s v="2144"/>
    <x v="0"/>
    <x v="7"/>
  </r>
  <r>
    <s v="9/26-30 ST HILLIERS ROAD AUBURN NSW 2144"/>
    <x v="0"/>
    <x v="8"/>
    <s v="2"/>
    <s v="1"/>
    <s v="1"/>
    <n v="420000"/>
    <x v="16"/>
    <s v="2144"/>
    <x v="0"/>
    <x v="2"/>
  </r>
  <r>
    <s v="35/3-11 NORMANBY ROAD AUBURN NSW 2144"/>
    <x v="0"/>
    <x v="19"/>
    <s v="2"/>
    <s v="1"/>
    <s v="N/A"/>
    <n v="568000"/>
    <x v="17"/>
    <s v="2144"/>
    <x v="0"/>
    <x v="0"/>
  </r>
  <r>
    <s v="300 CHISHOLM ROAD AUBURN NSW 2144"/>
    <x v="1"/>
    <x v="20"/>
    <s v="3"/>
    <s v="1"/>
    <s v="2"/>
    <n v="1202000"/>
    <x v="18"/>
    <s v="2144"/>
    <x v="0"/>
    <x v="1"/>
  </r>
  <r>
    <s v="5/97 DARTBROOK ROAD AUBURN NSW 2144"/>
    <x v="0"/>
    <x v="3"/>
    <s v="2"/>
    <s v="1"/>
    <s v="N/A"/>
    <n v="478888"/>
    <x v="18"/>
    <s v="2144"/>
    <x v="0"/>
    <x v="2"/>
  </r>
  <r>
    <s v="14 GIBBONS STREET AUBURN NSW 2144"/>
    <x v="1"/>
    <x v="21"/>
    <s v="3"/>
    <s v="1"/>
    <s v="1"/>
    <n v="1700000"/>
    <x v="18"/>
    <s v="2144"/>
    <x v="0"/>
    <x v="1"/>
  </r>
  <r>
    <s v="25 LOUISA STREET AUBURN NSW 2144"/>
    <x v="1"/>
    <x v="22"/>
    <s v="4"/>
    <s v="1"/>
    <s v="1"/>
    <n v="1800000"/>
    <x v="18"/>
    <s v="2144"/>
    <x v="0"/>
    <x v="1"/>
  </r>
  <r>
    <s v="3/40-46 ST HILLIERS ROAD AUBURN NSW 2144"/>
    <x v="0"/>
    <x v="3"/>
    <s v="2"/>
    <s v="1"/>
    <s v="N/A"/>
    <n v="450000"/>
    <x v="18"/>
    <s v="2144"/>
    <x v="0"/>
    <x v="2"/>
  </r>
  <r>
    <s v="22/27-29 MARY STREET AUBURN NSW 2144"/>
    <x v="1"/>
    <x v="23"/>
    <s v="2"/>
    <s v="2"/>
    <s v="N/A"/>
    <n v="570000"/>
    <x v="19"/>
    <s v="2144"/>
    <x v="0"/>
    <x v="0"/>
  </r>
  <r>
    <s v="23A RAGLAN ROAD AUBURN NSW 2144"/>
    <x v="1"/>
    <x v="6"/>
    <s v="4"/>
    <s v="2"/>
    <s v="2"/>
    <n v="1470000"/>
    <x v="19"/>
    <s v="2144"/>
    <x v="0"/>
    <x v="1"/>
  </r>
  <r>
    <s v="556/22-30 STATION ROAD AUBURN NSW 2144"/>
    <x v="0"/>
    <x v="6"/>
    <s v="2"/>
    <s v="2"/>
    <s v="N/A"/>
    <n v="635000"/>
    <x v="19"/>
    <s v="2144"/>
    <x v="0"/>
    <x v="3"/>
  </r>
  <r>
    <s v="60/2 MACQUARIE ROAD AUBURN NSW 2144"/>
    <x v="0"/>
    <x v="24"/>
    <s v="2"/>
    <s v="1"/>
    <s v="N/A"/>
    <n v="458000"/>
    <x v="20"/>
    <s v="2144"/>
    <x v="0"/>
    <x v="2"/>
  </r>
  <r>
    <s v="4/89 NORTHUMBERLAND ROAD AUBURN NSW 2144"/>
    <x v="0"/>
    <x v="1"/>
    <s v="2"/>
    <s v="1"/>
    <s v="1"/>
    <n v="467000"/>
    <x v="20"/>
    <s v="2144"/>
    <x v="0"/>
    <x v="2"/>
  </r>
  <r>
    <s v="14/66-68 STATION ROAD AUBURN NSW 2144"/>
    <x v="0"/>
    <x v="1"/>
    <s v="2"/>
    <s v="1"/>
    <s v="1"/>
    <n v="495000"/>
    <x v="20"/>
    <s v="2144"/>
    <x v="0"/>
    <x v="2"/>
  </r>
  <r>
    <s v="14/15 HARROW ROAD AUBURN NSW 2144"/>
    <x v="0"/>
    <x v="2"/>
    <s v="2"/>
    <s v="1"/>
    <s v="1"/>
    <n v="370000"/>
    <x v="21"/>
    <s v="2144"/>
    <x v="0"/>
    <x v="5"/>
  </r>
  <r>
    <s v="14 FRASER STREET AUBURN NSW 2144"/>
    <x v="1"/>
    <x v="8"/>
    <s v="5"/>
    <s v="2"/>
    <s v="2"/>
    <n v="1416000"/>
    <x v="22"/>
    <s v="2144"/>
    <x v="0"/>
    <x v="1"/>
  </r>
  <r>
    <s v="9 ST JOHNS AVENUE AUBURN NSW 2144"/>
    <x v="1"/>
    <x v="25"/>
    <s v="4"/>
    <s v="2"/>
    <s v="N/A"/>
    <n v="1830000"/>
    <x v="22"/>
    <s v="2144"/>
    <x v="0"/>
    <x v="1"/>
  </r>
  <r>
    <s v="9/29 ST JOHNS ROAD AUBURN NSW 2144"/>
    <x v="0"/>
    <x v="26"/>
    <s v="3"/>
    <s v="2"/>
    <s v="2"/>
    <n v="875000"/>
    <x v="22"/>
    <s v="2144"/>
    <x v="0"/>
    <x v="7"/>
  </r>
  <r>
    <s v="909/5 NORTHUMBERLAND ROAD AUBURN NSW 2144"/>
    <x v="0"/>
    <x v="6"/>
    <s v="2"/>
    <s v="2"/>
    <s v="N/A"/>
    <n v="668000"/>
    <x v="23"/>
    <s v="2144"/>
    <x v="0"/>
    <x v="3"/>
  </r>
  <r>
    <s v="7/8-10 NORTHUMBERLAND ROAD AUBURN NSW 2144"/>
    <x v="0"/>
    <x v="6"/>
    <s v="3"/>
    <s v="2"/>
    <s v="2"/>
    <n v="629000"/>
    <x v="23"/>
    <s v="2144"/>
    <x v="0"/>
    <x v="3"/>
  </r>
  <r>
    <s v="3/45 EDGAR STREET AUBURN NSW 2144"/>
    <x v="0"/>
    <x v="2"/>
    <s v="3"/>
    <s v="2"/>
    <s v="2"/>
    <n v="875000"/>
    <x v="24"/>
    <s v="2144"/>
    <x v="0"/>
    <x v="7"/>
  </r>
  <r>
    <s v="22 HEATH STREET AUBURN NSW 2144"/>
    <x v="1"/>
    <x v="8"/>
    <s v="3"/>
    <s v="2"/>
    <s v="N/A"/>
    <n v="1620000"/>
    <x v="24"/>
    <s v="2144"/>
    <x v="0"/>
    <x v="1"/>
  </r>
  <r>
    <s v="3/17 MACQUARIE ROAD AUBURN NSW 2144"/>
    <x v="0"/>
    <x v="27"/>
    <s v="2"/>
    <s v="1"/>
    <s v="1"/>
    <n v="596000"/>
    <x v="24"/>
    <s v="2144"/>
    <x v="0"/>
    <x v="0"/>
  </r>
  <r>
    <s v="16/176 SOUTH PARADE AUBURN NSW 2144"/>
    <x v="0"/>
    <x v="6"/>
    <s v="2"/>
    <s v="2"/>
    <s v="1"/>
    <n v="522000"/>
    <x v="24"/>
    <s v="2144"/>
    <x v="0"/>
    <x v="0"/>
  </r>
  <r>
    <s v="7/48 ST HILLIERS ROAD AUBURN NSW 2144"/>
    <x v="0"/>
    <x v="24"/>
    <s v="2"/>
    <s v="2"/>
    <s v="N/A"/>
    <n v="550000"/>
    <x v="24"/>
    <s v="2144"/>
    <x v="0"/>
    <x v="0"/>
  </r>
  <r>
    <s v="1/55-57 SUSAN STREET AUBURN NSW 2144"/>
    <x v="0"/>
    <x v="11"/>
    <s v="3"/>
    <s v="3"/>
    <s v="2"/>
    <n v="1035000"/>
    <x v="24"/>
    <s v="2144"/>
    <x v="0"/>
    <x v="1"/>
  </r>
  <r>
    <s v="20/54-60 DARTBROOK ROAD AUBURN NSW 2144"/>
    <x v="0"/>
    <x v="28"/>
    <s v="2"/>
    <s v="2"/>
    <s v="N/A"/>
    <n v="550000"/>
    <x v="25"/>
    <s v="2144"/>
    <x v="0"/>
    <x v="0"/>
  </r>
  <r>
    <s v="4/120 HARROW ROAD AUBURN NSW 2144"/>
    <x v="0"/>
    <x v="8"/>
    <s v="2"/>
    <s v="1"/>
    <s v="N/A"/>
    <n v="365000"/>
    <x v="25"/>
    <s v="2144"/>
    <x v="0"/>
    <x v="5"/>
  </r>
  <r>
    <s v="4/43 MACQUARIE ROAD AUBURN NSW 2144"/>
    <x v="0"/>
    <x v="2"/>
    <s v="2"/>
    <s v="1"/>
    <s v="1"/>
    <n v="455000"/>
    <x v="25"/>
    <s v="2144"/>
    <x v="0"/>
    <x v="2"/>
  </r>
  <r>
    <s v="1/31A PROVINCIAL STREET AUBURN NSW 2144"/>
    <x v="0"/>
    <x v="6"/>
    <s v="3"/>
    <s v="2"/>
    <s v="1"/>
    <n v="40000"/>
    <x v="25"/>
    <s v="2144"/>
    <x v="0"/>
    <x v="6"/>
  </r>
  <r>
    <s v="29A COCKTHORPE ROAD AUBURN NSW 2144"/>
    <x v="0"/>
    <x v="6"/>
    <s v="3"/>
    <s v="3"/>
    <s v="2"/>
    <n v="650000"/>
    <x v="26"/>
    <s v="2144"/>
    <x v="0"/>
    <x v="3"/>
  </r>
  <r>
    <s v="18 CORNWALL ROAD AUBURN NSW 2144"/>
    <x v="1"/>
    <x v="29"/>
    <s v="3"/>
    <s v="2"/>
    <s v="1"/>
    <n v="1260000"/>
    <x v="27"/>
    <s v="2144"/>
    <x v="0"/>
    <x v="1"/>
  </r>
  <r>
    <s v="3/124 PARK ROAD AUBURN NSW 2144"/>
    <x v="0"/>
    <x v="6"/>
    <s v="3"/>
    <s v="1"/>
    <s v="1"/>
    <n v="880000"/>
    <x v="27"/>
    <s v="2144"/>
    <x v="0"/>
    <x v="7"/>
  </r>
  <r>
    <s v="5111/57-59 QUEEN STREET AUBURN NSW 2144"/>
    <x v="0"/>
    <x v="6"/>
    <s v="2"/>
    <s v="2"/>
    <s v="9"/>
    <n v="615000"/>
    <x v="27"/>
    <s v="2144"/>
    <x v="0"/>
    <x v="3"/>
  </r>
  <r>
    <s v="26 CASTLE STREET AUBURN NSW 2144"/>
    <x v="1"/>
    <x v="2"/>
    <s v="3"/>
    <s v="2"/>
    <s v="2"/>
    <n v="1100000"/>
    <x v="28"/>
    <s v="2144"/>
    <x v="0"/>
    <x v="1"/>
  </r>
  <r>
    <s v="8/15 HALL STREET AUBURN NSW 2144"/>
    <x v="0"/>
    <x v="6"/>
    <s v="2"/>
    <s v="1"/>
    <s v="N/A"/>
    <n v="483000"/>
    <x v="28"/>
    <s v="2144"/>
    <x v="0"/>
    <x v="2"/>
  </r>
  <r>
    <s v="5/87 STATION ROAD AUBURN NSW 2144"/>
    <x v="0"/>
    <x v="24"/>
    <s v="2"/>
    <s v="1"/>
    <s v="2"/>
    <n v="450000"/>
    <x v="28"/>
    <s v="2144"/>
    <x v="0"/>
    <x v="2"/>
  </r>
  <r>
    <s v="4/89 STATION ROAD AUBURN NSW 2144"/>
    <x v="0"/>
    <x v="30"/>
    <s v="3"/>
    <s v="2"/>
    <s v="1"/>
    <n v="647000"/>
    <x v="28"/>
    <s v="2144"/>
    <x v="0"/>
    <x v="3"/>
  </r>
  <r>
    <s v="1 VERONA STREET AUBURN NSW 2144"/>
    <x v="1"/>
    <x v="21"/>
    <s v="3"/>
    <s v="2"/>
    <s v="3"/>
    <n v="1978000"/>
    <x v="28"/>
    <s v="2144"/>
    <x v="0"/>
    <x v="1"/>
  </r>
  <r>
    <s v="304/172 SOUTH PARADE AUBURN NSW 2144"/>
    <x v="0"/>
    <x v="6"/>
    <s v="2"/>
    <s v="2"/>
    <s v="N/A"/>
    <n v="610000"/>
    <x v="29"/>
    <s v="2144"/>
    <x v="0"/>
    <x v="3"/>
  </r>
  <r>
    <s v="4 YILLOWRA STREET AUBURN NSW 2144"/>
    <x v="1"/>
    <x v="6"/>
    <s v="3"/>
    <s v="1"/>
    <s v="1"/>
    <n v="555000"/>
    <x v="30"/>
    <s v="2144"/>
    <x v="0"/>
    <x v="0"/>
  </r>
  <r>
    <s v="121/6-14 PARK ROAD AUBURN NSW 2144"/>
    <x v="0"/>
    <x v="31"/>
    <s v="2"/>
    <s v="2"/>
    <s v="N/A"/>
    <n v="652250"/>
    <x v="31"/>
    <s v="2144"/>
    <x v="0"/>
    <x v="3"/>
  </r>
  <r>
    <s v="2/78 WATER STREET AUBURN NSW 2144"/>
    <x v="0"/>
    <x v="6"/>
    <s v="2"/>
    <s v="1"/>
    <s v="1"/>
    <n v="330000"/>
    <x v="32"/>
    <s v="2144"/>
    <x v="0"/>
    <x v="5"/>
  </r>
  <r>
    <s v="16/27-29 MARY STREET AUBURN NSW 2144"/>
    <x v="0"/>
    <x v="6"/>
    <s v="2"/>
    <s v="2"/>
    <s v="1"/>
    <n v="570000"/>
    <x v="33"/>
    <s v="2144"/>
    <x v="0"/>
    <x v="0"/>
  </r>
  <r>
    <s v="5/93 NORTHUMBERLAND ROAD AUBURN NSW 2144"/>
    <x v="0"/>
    <x v="6"/>
    <s v="2"/>
    <s v="1"/>
    <s v="1"/>
    <n v="413000"/>
    <x v="33"/>
    <s v="2144"/>
    <x v="0"/>
    <x v="2"/>
  </r>
  <r>
    <s v="152/6-14 PARK ROAD AUBURN NSW 2144"/>
    <x v="0"/>
    <x v="32"/>
    <s v="3"/>
    <s v="2"/>
    <s v="2"/>
    <n v="830000"/>
    <x v="33"/>
    <s v="2144"/>
    <x v="0"/>
    <x v="7"/>
  </r>
  <r>
    <s v="4605/57-59 QUEEN STREET AUBURN NSW 2144"/>
    <x v="0"/>
    <x v="6"/>
    <s v="2"/>
    <s v="2"/>
    <s v="1"/>
    <n v="570000"/>
    <x v="33"/>
    <s v="2144"/>
    <x v="0"/>
    <x v="0"/>
  </r>
  <r>
    <s v="7/68-70 ST HILLIERS ROAD AUBURN NSW 2144"/>
    <x v="0"/>
    <x v="6"/>
    <s v="2"/>
    <s v="1"/>
    <s v="1"/>
    <n v="420000"/>
    <x v="33"/>
    <s v="2144"/>
    <x v="0"/>
    <x v="2"/>
  </r>
  <r>
    <s v="402/8 STATION ROAD AUBURN NSW 2144"/>
    <x v="0"/>
    <x v="33"/>
    <s v="2"/>
    <s v="2"/>
    <s v="N/A"/>
    <n v="620000"/>
    <x v="33"/>
    <s v="2144"/>
    <x v="0"/>
    <x v="3"/>
  </r>
  <r>
    <s v="5/26 DARTBROOK ROAD AUBURN NSW 2144"/>
    <x v="0"/>
    <x v="3"/>
    <s v="2"/>
    <s v="1"/>
    <s v="N/A"/>
    <n v="421500"/>
    <x v="34"/>
    <s v="2144"/>
    <x v="0"/>
    <x v="2"/>
  </r>
  <r>
    <s v="3/92 NORTHUMBERLAND ROAD AUBURN NSW 2144"/>
    <x v="0"/>
    <x v="6"/>
    <s v="2"/>
    <s v="1"/>
    <s v="1"/>
    <n v="463000"/>
    <x v="35"/>
    <s v="2144"/>
    <x v="0"/>
    <x v="2"/>
  </r>
  <r>
    <s v="5079/57-59 QUEEN STREET AUBURN NSW 2144"/>
    <x v="0"/>
    <x v="6"/>
    <s v="3"/>
    <s v="2"/>
    <s v="1"/>
    <n v="320000"/>
    <x v="35"/>
    <s v="2144"/>
    <x v="0"/>
    <x v="5"/>
  </r>
  <r>
    <s v="8/64 STATION ROAD AUBURN NSW 2144"/>
    <x v="0"/>
    <x v="24"/>
    <s v="2"/>
    <s v="1"/>
    <s v="1"/>
    <n v="418000"/>
    <x v="35"/>
    <s v="2144"/>
    <x v="0"/>
    <x v="2"/>
  </r>
  <r>
    <s v="3/28 ELSHAM ROAD AUBURN NSW 2144"/>
    <x v="0"/>
    <x v="6"/>
    <s v="4"/>
    <s v="2"/>
    <s v="3"/>
    <n v="1088000"/>
    <x v="36"/>
    <s v="2144"/>
    <x v="0"/>
    <x v="1"/>
  </r>
  <r>
    <s v="708/12 NORTHUMBERLAND ROAD AUBURN NSW 2144"/>
    <x v="0"/>
    <x v="34"/>
    <s v="1"/>
    <s v="1"/>
    <s v="1"/>
    <n v="450000"/>
    <x v="36"/>
    <s v="2144"/>
    <x v="0"/>
    <x v="2"/>
  </r>
  <r>
    <s v="6/98 NORTHUMBERLAND ROAD AUBURN NSW 2144"/>
    <x v="0"/>
    <x v="6"/>
    <s v="2"/>
    <s v="1"/>
    <s v="1"/>
    <n v="495110"/>
    <x v="36"/>
    <s v="2144"/>
    <x v="0"/>
    <x v="2"/>
  </r>
  <r>
    <s v="30/48 ST HILLIERS ROAD AUBURN NSW 2144"/>
    <x v="0"/>
    <x v="6"/>
    <s v="2"/>
    <s v="2"/>
    <s v="1"/>
    <n v="550000"/>
    <x v="36"/>
    <s v="2144"/>
    <x v="0"/>
    <x v="0"/>
  </r>
  <r>
    <s v="4/76 STATION ROAD AUBURN NSW 2144"/>
    <x v="0"/>
    <x v="6"/>
    <s v="2"/>
    <s v="1"/>
    <s v="1"/>
    <n v="420000"/>
    <x v="36"/>
    <s v="2144"/>
    <x v="0"/>
    <x v="2"/>
  </r>
  <r>
    <s v="3 EDGAR STREET AUBURN NSW 2144"/>
    <x v="1"/>
    <x v="6"/>
    <s v="3"/>
    <s v="3"/>
    <s v="3"/>
    <n v="1200000"/>
    <x v="37"/>
    <s v="2144"/>
    <x v="0"/>
    <x v="1"/>
  </r>
  <r>
    <s v="25 ELM ROAD AUBURN NSW 2144"/>
    <x v="1"/>
    <x v="35"/>
    <s v="4"/>
    <s v="2"/>
    <s v="N/A"/>
    <n v="1720000"/>
    <x v="37"/>
    <s v="2144"/>
    <x v="0"/>
    <x v="1"/>
  </r>
  <r>
    <s v="34 SUSAN STREET AUBURN NSW 2144"/>
    <x v="1"/>
    <x v="36"/>
    <s v="N/A"/>
    <s v="N/A"/>
    <s v="2"/>
    <n v="2400000"/>
    <x v="37"/>
    <s v="2144"/>
    <x v="0"/>
    <x v="1"/>
  </r>
  <r>
    <s v="4/99 DARTBROOK ROAD AUBURN NSW 2144"/>
    <x v="0"/>
    <x v="2"/>
    <s v="2"/>
    <s v="1"/>
    <s v="1"/>
    <n v="428000"/>
    <x v="38"/>
    <s v="2144"/>
    <x v="0"/>
    <x v="2"/>
  </r>
  <r>
    <s v="183/2 MACQUARIE ROAD AUBURN NSW 2144"/>
    <x v="0"/>
    <x v="37"/>
    <s v="2"/>
    <s v="2"/>
    <s v="1"/>
    <n v="508000"/>
    <x v="38"/>
    <s v="2144"/>
    <x v="0"/>
    <x v="0"/>
  </r>
  <r>
    <s v="237 RAWSON STREET AUBURN NSW 2144"/>
    <x v="1"/>
    <x v="38"/>
    <s v="4"/>
    <s v="1"/>
    <s v="1"/>
    <n v="1403000"/>
    <x v="38"/>
    <s v="2144"/>
    <x v="0"/>
    <x v="1"/>
  </r>
  <r>
    <s v="126 SOUTH PARADE AUBURN NSW 2144"/>
    <x v="1"/>
    <x v="6"/>
    <s v="2"/>
    <s v="1"/>
    <s v="1"/>
    <n v="2900000"/>
    <x v="38"/>
    <s v="2144"/>
    <x v="0"/>
    <x v="1"/>
  </r>
  <r>
    <s v="28 FRASER STREET AUBURN NSW 2144"/>
    <x v="1"/>
    <x v="39"/>
    <s v="4"/>
    <s v="1"/>
    <s v="1"/>
    <n v="1240000"/>
    <x v="39"/>
    <s v="2144"/>
    <x v="0"/>
    <x v="1"/>
  </r>
  <r>
    <s v="168 PARRAMATTA ROAD AUBURN NSW 2144"/>
    <x v="1"/>
    <x v="6"/>
    <s v="N/A"/>
    <s v="N/A"/>
    <s v="N/A"/>
    <n v="1055000"/>
    <x v="40"/>
    <s v="2144"/>
    <x v="0"/>
    <x v="1"/>
  </r>
  <r>
    <s v="144 CHISHOLM ROAD AUBURN NSW 2144"/>
    <x v="1"/>
    <x v="2"/>
    <s v="3"/>
    <s v="2"/>
    <s v="2"/>
    <n v="1380000"/>
    <x v="41"/>
    <s v="2144"/>
    <x v="0"/>
    <x v="1"/>
  </r>
  <r>
    <s v="46 EDGAR STREET AUBURN NSW 2144"/>
    <x v="1"/>
    <x v="2"/>
    <s v="5"/>
    <s v="3"/>
    <s v="N/A"/>
    <n v="1350000"/>
    <x v="41"/>
    <s v="2144"/>
    <x v="0"/>
    <x v="1"/>
  </r>
  <r>
    <s v="205/28B NORTHUMBERLAND ROAD AUBURN NSW 2144"/>
    <x v="0"/>
    <x v="6"/>
    <s v="2"/>
    <s v="2"/>
    <s v="N/A"/>
    <n v="675000"/>
    <x v="41"/>
    <s v="2144"/>
    <x v="0"/>
    <x v="3"/>
  </r>
  <r>
    <s v="2/94-96 ST HILLIERS ROAD AUBURN NSW 2144"/>
    <x v="0"/>
    <x v="40"/>
    <s v="2"/>
    <s v="1"/>
    <s v="N/A"/>
    <n v="420000"/>
    <x v="41"/>
    <s v="2144"/>
    <x v="0"/>
    <x v="2"/>
  </r>
  <r>
    <s v="35 ST JOHNS ROAD AUBURN NSW 2144"/>
    <x v="1"/>
    <x v="6"/>
    <s v="3"/>
    <s v="2"/>
    <s v="2"/>
    <n v="1000000"/>
    <x v="41"/>
    <s v="2144"/>
    <x v="0"/>
    <x v="8"/>
  </r>
  <r>
    <s v="887/22-30 STATION ROAD AUBURN NSW 2144"/>
    <x v="0"/>
    <x v="6"/>
    <s v="2"/>
    <s v="2"/>
    <s v="1"/>
    <n v="600000"/>
    <x v="41"/>
    <s v="2144"/>
    <x v="0"/>
    <x v="0"/>
  </r>
  <r>
    <s v="3/103 DARTBROOK ROAD AUBURN NSW 2144"/>
    <x v="0"/>
    <x v="4"/>
    <s v="2"/>
    <s v="1"/>
    <s v="1"/>
    <n v="450000"/>
    <x v="42"/>
    <s v="2144"/>
    <x v="0"/>
    <x v="2"/>
  </r>
  <r>
    <s v="5/23 ELSHAM ROAD AUBURN NSW 2144"/>
    <x v="0"/>
    <x v="21"/>
    <s v="3"/>
    <s v="1"/>
    <s v="N/A"/>
    <n v="790000"/>
    <x v="42"/>
    <s v="2144"/>
    <x v="0"/>
    <x v="4"/>
  </r>
  <r>
    <s v="27 LUKE AVENUE BURWOOD NSW 2134"/>
    <x v="1"/>
    <x v="41"/>
    <s v="4"/>
    <s v="3"/>
    <s v="2"/>
    <n v="3520000"/>
    <x v="5"/>
    <s v="2134"/>
    <x v="1"/>
    <x v="1"/>
  </r>
  <r>
    <s v="9/14-16 PARK AVENUE BURWOOD NSW 2134"/>
    <x v="0"/>
    <x v="42"/>
    <s v="2"/>
    <s v="1"/>
    <s v="1"/>
    <n v="930000"/>
    <x v="5"/>
    <s v="2134"/>
    <x v="1"/>
    <x v="8"/>
  </r>
  <r>
    <s v="12/38-40 MERYLA STREET BURWOOD NSW 2134"/>
    <x v="0"/>
    <x v="43"/>
    <s v="2"/>
    <s v="1"/>
    <s v="1"/>
    <n v="888000"/>
    <x v="6"/>
    <s v="2134"/>
    <x v="1"/>
    <x v="7"/>
  </r>
  <r>
    <s v="LOT 1/23 SHAFTESBURY ROAD BURWOOD NSW 2134"/>
    <x v="0"/>
    <x v="6"/>
    <s v="N/A"/>
    <s v="N/A"/>
    <s v="N/A"/>
    <n v="2481000"/>
    <x v="7"/>
    <s v="2134"/>
    <x v="1"/>
    <x v="1"/>
  </r>
  <r>
    <s v="93/3 RAILWAY PARADE BURWOOD NSW 2134"/>
    <x v="0"/>
    <x v="44"/>
    <s v="2"/>
    <s v="2"/>
    <s v="1"/>
    <n v="750000"/>
    <x v="43"/>
    <s v="2134"/>
    <x v="1"/>
    <x v="4"/>
  </r>
  <r>
    <s v="23 WELDON STREET BURWOOD NSW 2134"/>
    <x v="1"/>
    <x v="45"/>
    <s v="12"/>
    <s v="6"/>
    <s v="N/A"/>
    <n v="6980142"/>
    <x v="43"/>
    <s v="2134"/>
    <x v="1"/>
    <x v="1"/>
  </r>
  <r>
    <s v="2 WYATT AVENUE BURWOOD NSW 2134"/>
    <x v="1"/>
    <x v="45"/>
    <s v="8"/>
    <s v="5"/>
    <s v="4"/>
    <n v="4019858"/>
    <x v="43"/>
    <s v="2134"/>
    <x v="1"/>
    <x v="1"/>
  </r>
  <r>
    <s v="302/180-186 BURWOOD ROAD BURWOOD NSW 2134"/>
    <x v="0"/>
    <x v="6"/>
    <s v="N/A"/>
    <s v="N/A"/>
    <s v="N/A"/>
    <n v="1001000"/>
    <x v="8"/>
    <s v="2134"/>
    <x v="1"/>
    <x v="1"/>
  </r>
  <r>
    <s v="1/3-13 COMER STREET BURWOOD NSW 2134"/>
    <x v="0"/>
    <x v="46"/>
    <s v="2"/>
    <s v="1"/>
    <s v="N/A"/>
    <n v="732000"/>
    <x v="8"/>
    <s v="2134"/>
    <x v="1"/>
    <x v="4"/>
  </r>
  <r>
    <s v="24 ETHEL STREET BURWOOD NSW 2134"/>
    <x v="1"/>
    <x v="47"/>
    <s v="6"/>
    <s v="3"/>
    <s v="1"/>
    <n v="7000000"/>
    <x v="44"/>
    <s v="2134"/>
    <x v="1"/>
    <x v="1"/>
  </r>
  <r>
    <s v="20 SHAFTESBURY ROAD BURWOOD NSW 2134"/>
    <x v="1"/>
    <x v="15"/>
    <s v="4"/>
    <s v="2"/>
    <s v="1"/>
    <n v="3100000"/>
    <x v="44"/>
    <s v="2134"/>
    <x v="1"/>
    <x v="1"/>
  </r>
  <r>
    <s v="1801/15 GEORGE STREET BURWOOD NSW 2134"/>
    <x v="0"/>
    <x v="6"/>
    <s v="3"/>
    <s v="2"/>
    <s v="2"/>
    <n v="2200000"/>
    <x v="9"/>
    <s v="2134"/>
    <x v="1"/>
    <x v="1"/>
  </r>
  <r>
    <s v="32/1A GLOUCESTER AVENUE BURWOOD NSW 2134"/>
    <x v="0"/>
    <x v="6"/>
    <s v="3"/>
    <s v="2"/>
    <s v="2"/>
    <n v="1335000"/>
    <x v="9"/>
    <s v="2134"/>
    <x v="1"/>
    <x v="1"/>
  </r>
  <r>
    <s v="2D/88 BURWOOD ROAD BURWOOD NSW 2134"/>
    <x v="0"/>
    <x v="5"/>
    <s v="2"/>
    <s v="2"/>
    <s v="N/A"/>
    <n v="1230000"/>
    <x v="11"/>
    <s v="2134"/>
    <x v="1"/>
    <x v="1"/>
  </r>
  <r>
    <s v="3/4 BELMORE STREET BURWOOD NSW 2134"/>
    <x v="0"/>
    <x v="43"/>
    <s v="2"/>
    <s v="1"/>
    <s v="N/A"/>
    <n v="650000"/>
    <x v="12"/>
    <s v="2134"/>
    <x v="1"/>
    <x v="3"/>
  </r>
  <r>
    <s v="217 BURWOOD ROAD BURWOOD NSW 2134"/>
    <x v="1"/>
    <x v="45"/>
    <s v="6"/>
    <s v="5"/>
    <s v="2"/>
    <n v="5300000"/>
    <x v="15"/>
    <s v="2134"/>
    <x v="1"/>
    <x v="1"/>
  </r>
  <r>
    <s v="11 QUANDONG AVENUE BURWOOD NSW 2134"/>
    <x v="1"/>
    <x v="15"/>
    <s v="3"/>
    <s v="3"/>
    <s v="N/A"/>
    <n v="2200000"/>
    <x v="45"/>
    <s v="2134"/>
    <x v="1"/>
    <x v="1"/>
  </r>
  <r>
    <s v="36/12-16 BELMORE STREET BURWOOD NSW 2134"/>
    <x v="0"/>
    <x v="6"/>
    <s v="2"/>
    <s v="1"/>
    <s v="1"/>
    <n v="718000"/>
    <x v="16"/>
    <s v="2134"/>
    <x v="1"/>
    <x v="4"/>
  </r>
  <r>
    <s v="3 WYATT AVENUE BURWOOD NSW 2134"/>
    <x v="1"/>
    <x v="43"/>
    <s v="4"/>
    <s v="2"/>
    <s v="2"/>
    <n v="2680000"/>
    <x v="16"/>
    <s v="2134"/>
    <x v="1"/>
    <x v="1"/>
  </r>
  <r>
    <s v="4/4 PARK ROAD BURWOOD NSW 2134"/>
    <x v="0"/>
    <x v="23"/>
    <s v="2"/>
    <s v="1"/>
    <s v="N/A"/>
    <n v="670000"/>
    <x v="46"/>
    <s v="2134"/>
    <x v="1"/>
    <x v="3"/>
  </r>
  <r>
    <s v="3/55-57 PARK ROAD BURWOOD NSW 2134"/>
    <x v="1"/>
    <x v="48"/>
    <s v="3"/>
    <s v="2"/>
    <s v="2"/>
    <n v="2636000"/>
    <x v="18"/>
    <s v="2134"/>
    <x v="1"/>
    <x v="1"/>
  </r>
  <r>
    <s v="12/21 GEORGE STREET BURWOOD NSW 2134"/>
    <x v="0"/>
    <x v="49"/>
    <s v="2"/>
    <s v="2"/>
    <s v="1"/>
    <n v="700000"/>
    <x v="47"/>
    <s v="2134"/>
    <x v="1"/>
    <x v="3"/>
  </r>
  <r>
    <s v="13/21 GEORGE STREET BURWOOD NSW 2134"/>
    <x v="0"/>
    <x v="49"/>
    <s v="2"/>
    <s v="2"/>
    <s v="1"/>
    <n v="1250000"/>
    <x v="47"/>
    <s v="2134"/>
    <x v="1"/>
    <x v="1"/>
  </r>
  <r>
    <s v="11A ROWLEY STREET BURWOOD NSW 2134"/>
    <x v="1"/>
    <x v="15"/>
    <s v="3"/>
    <s v="2"/>
    <s v="N/A"/>
    <n v="1723000"/>
    <x v="47"/>
    <s v="2134"/>
    <x v="1"/>
    <x v="1"/>
  </r>
  <r>
    <s v="24/10 GLADSTONE STREET BURWOOD NSW 2134"/>
    <x v="0"/>
    <x v="6"/>
    <s v="2"/>
    <s v="2"/>
    <s v="1"/>
    <n v="820000"/>
    <x v="48"/>
    <s v="2134"/>
    <x v="1"/>
    <x v="7"/>
  </r>
  <r>
    <s v="309/1 RAILWAY PARADE BURWOOD NSW 2134"/>
    <x v="0"/>
    <x v="6"/>
    <s v="3"/>
    <s v="2"/>
    <s v="1"/>
    <n v="933800"/>
    <x v="48"/>
    <s v="2134"/>
    <x v="1"/>
    <x v="8"/>
  </r>
  <r>
    <s v="2C/88 BURWOOD ROAD BURWOOD NSW 2134"/>
    <x v="0"/>
    <x v="5"/>
    <s v="2"/>
    <s v="2"/>
    <s v="N/A"/>
    <n v="1200000"/>
    <x v="19"/>
    <s v="2134"/>
    <x v="1"/>
    <x v="1"/>
  </r>
  <r>
    <s v="503C/8 WYNNE AVENUE BURWOOD NSW 2134"/>
    <x v="0"/>
    <x v="6"/>
    <s v="2"/>
    <s v="2"/>
    <s v="1"/>
    <n v="965000"/>
    <x v="19"/>
    <s v="2134"/>
    <x v="1"/>
    <x v="8"/>
  </r>
  <r>
    <s v="203/9 CARILLA STREET BURWOOD NSW 2134"/>
    <x v="0"/>
    <x v="6"/>
    <s v="2"/>
    <s v="2"/>
    <s v="1"/>
    <n v="930000"/>
    <x v="20"/>
    <s v="2134"/>
    <x v="1"/>
    <x v="8"/>
  </r>
  <r>
    <s v="2/234 WENTWORTH ROAD BURWOOD NSW 2134"/>
    <x v="0"/>
    <x v="15"/>
    <s v="3"/>
    <s v="1"/>
    <s v="N/A"/>
    <n v="690000"/>
    <x v="20"/>
    <s v="2134"/>
    <x v="1"/>
    <x v="3"/>
  </r>
  <r>
    <s v="610/7 CONDER STREET BURWOOD NSW 2134"/>
    <x v="0"/>
    <x v="6"/>
    <s v="1"/>
    <s v="1"/>
    <s v="1"/>
    <n v="705000"/>
    <x v="23"/>
    <s v="2134"/>
    <x v="1"/>
    <x v="4"/>
  </r>
  <r>
    <s v="2/199 LIVERPOOL ROAD BURWOOD NSW 2134"/>
    <x v="0"/>
    <x v="6"/>
    <s v="2"/>
    <s v="1"/>
    <s v="1"/>
    <n v="580000"/>
    <x v="23"/>
    <s v="2134"/>
    <x v="1"/>
    <x v="0"/>
  </r>
  <r>
    <s v="24 MT PLEASANT AVENUE BURWOOD NSW 2134"/>
    <x v="1"/>
    <x v="15"/>
    <s v="5"/>
    <s v="3"/>
    <s v="1"/>
    <n v="2050000"/>
    <x v="23"/>
    <s v="2134"/>
    <x v="1"/>
    <x v="1"/>
  </r>
  <r>
    <s v="903/43 BELMORE STREET BURWOOD NSW 2134"/>
    <x v="0"/>
    <x v="6"/>
    <s v="2"/>
    <s v="2"/>
    <s v="N/A"/>
    <n v="1049000"/>
    <x v="24"/>
    <s v="2134"/>
    <x v="1"/>
    <x v="1"/>
  </r>
  <r>
    <s v="2078/67 SHAFTESBURY ROAD BURWOOD NSW 2134"/>
    <x v="0"/>
    <x v="50"/>
    <s v="2"/>
    <s v="2"/>
    <s v="N/A"/>
    <n v="920000"/>
    <x v="24"/>
    <s v="2134"/>
    <x v="1"/>
    <x v="8"/>
  </r>
  <r>
    <s v="8 APPIAN WAY BURWOOD NSW 2134"/>
    <x v="1"/>
    <x v="51"/>
    <s v="5"/>
    <s v="2"/>
    <s v="2"/>
    <n v="5200000"/>
    <x v="25"/>
    <s v="2134"/>
    <x v="1"/>
    <x v="1"/>
  </r>
  <r>
    <s v="11/316 PARRAMATTA ROAD BURWOOD NSW 2134"/>
    <x v="0"/>
    <x v="52"/>
    <s v="1"/>
    <s v="1"/>
    <s v="1"/>
    <n v="590000"/>
    <x v="26"/>
    <s v="2134"/>
    <x v="1"/>
    <x v="0"/>
  </r>
  <r>
    <s v="6/199 LIVERPOOL ROAD BURWOOD NSW 2134"/>
    <x v="0"/>
    <x v="53"/>
    <s v="2"/>
    <s v="1"/>
    <s v="N/A"/>
    <n v="600000"/>
    <x v="49"/>
    <s v="2134"/>
    <x v="1"/>
    <x v="0"/>
  </r>
  <r>
    <s v="16/199 LIVERPOOL ROAD BURWOOD NSW 2134"/>
    <x v="0"/>
    <x v="47"/>
    <s v="2"/>
    <s v="1"/>
    <s v="N/A"/>
    <n v="618000"/>
    <x v="50"/>
    <s v="2134"/>
    <x v="1"/>
    <x v="3"/>
  </r>
  <r>
    <s v="1/37 ANGELO STREET BURWOOD NSW 2134"/>
    <x v="0"/>
    <x v="43"/>
    <s v="2"/>
    <s v="2"/>
    <s v="2"/>
    <n v="791000"/>
    <x v="27"/>
    <s v="2134"/>
    <x v="1"/>
    <x v="4"/>
  </r>
  <r>
    <s v="6038/1-3 BELMORE STREET BURWOOD NSW 2134"/>
    <x v="0"/>
    <x v="54"/>
    <s v="2"/>
    <s v="2"/>
    <s v="N/A"/>
    <n v="1050000"/>
    <x v="27"/>
    <s v="2134"/>
    <x v="1"/>
    <x v="1"/>
  </r>
  <r>
    <s v="402/6 RAILWAY PARADE BURWOOD NSW 2134"/>
    <x v="0"/>
    <x v="6"/>
    <s v="1"/>
    <s v="1"/>
    <s v="1"/>
    <n v="700000"/>
    <x v="28"/>
    <s v="2134"/>
    <x v="1"/>
    <x v="3"/>
  </r>
  <r>
    <s v="2301/7-9 BURLEIGH STREET BURWOOD NSW 2134"/>
    <x v="0"/>
    <x v="47"/>
    <s v="4"/>
    <s v="3"/>
    <s v="N/A"/>
    <n v="3210000"/>
    <x v="51"/>
    <s v="2134"/>
    <x v="1"/>
    <x v="1"/>
  </r>
  <r>
    <s v="83/3 RAILWAY PARADE BURWOOD NSW 2134"/>
    <x v="0"/>
    <x v="6"/>
    <s v="3"/>
    <s v="2"/>
    <s v="2"/>
    <n v="1060000"/>
    <x v="51"/>
    <s v="2134"/>
    <x v="1"/>
    <x v="1"/>
  </r>
  <r>
    <s v="3028/67 SHAFTESBURY ROAD BURWOOD NSW 2134"/>
    <x v="0"/>
    <x v="55"/>
    <s v="2"/>
    <s v="2"/>
    <s v="N/A"/>
    <n v="823000"/>
    <x v="51"/>
    <s v="2134"/>
    <x v="1"/>
    <x v="7"/>
  </r>
  <r>
    <s v="4/10 GLADSTONE STREET BURWOOD NSW 2134"/>
    <x v="0"/>
    <x v="56"/>
    <s v="2"/>
    <s v="2"/>
    <s v="1"/>
    <n v="820000"/>
    <x v="52"/>
    <s v="2134"/>
    <x v="1"/>
    <x v="7"/>
  </r>
  <r>
    <s v="310/65 SHAFTESBURY ROAD BURWOOD NSW 2134"/>
    <x v="0"/>
    <x v="43"/>
    <s v="2"/>
    <s v="2"/>
    <s v="1"/>
    <n v="780000"/>
    <x v="53"/>
    <s v="2134"/>
    <x v="1"/>
    <x v="4"/>
  </r>
  <r>
    <s v="1/21 GEORGE STREET BURWOOD NSW 2134"/>
    <x v="0"/>
    <x v="49"/>
    <s v="2"/>
    <s v="2"/>
    <s v="1"/>
    <n v="1250000"/>
    <x v="32"/>
    <s v="2134"/>
    <x v="1"/>
    <x v="1"/>
  </r>
  <r>
    <s v="3/21 GEORGE STREET BURWOOD NSW 2134"/>
    <x v="0"/>
    <x v="57"/>
    <s v="2"/>
    <s v="2"/>
    <s v="1"/>
    <n v="1450000"/>
    <x v="32"/>
    <s v="2134"/>
    <x v="1"/>
    <x v="1"/>
  </r>
  <r>
    <s v="6/21 GEORGE STREET BURWOOD NSW 2134"/>
    <x v="0"/>
    <x v="49"/>
    <s v="2"/>
    <s v="2"/>
    <s v="1"/>
    <n v="1250000"/>
    <x v="32"/>
    <s v="2134"/>
    <x v="1"/>
    <x v="1"/>
  </r>
  <r>
    <s v="7/21 GEORGE STREET BURWOOD NSW 2134"/>
    <x v="0"/>
    <x v="49"/>
    <s v="2"/>
    <s v="2"/>
    <s v="1"/>
    <n v="1250000"/>
    <x v="32"/>
    <s v="2134"/>
    <x v="1"/>
    <x v="1"/>
  </r>
  <r>
    <s v="9/21 GEORGE STREET BURWOOD NSW 2134"/>
    <x v="0"/>
    <x v="49"/>
    <s v="2"/>
    <s v="2"/>
    <s v="1"/>
    <n v="1250000"/>
    <x v="32"/>
    <s v="2134"/>
    <x v="1"/>
    <x v="1"/>
  </r>
  <r>
    <s v="10/21 GEORGE STREET BURWOOD NSW 2134"/>
    <x v="0"/>
    <x v="57"/>
    <s v="2"/>
    <s v="1"/>
    <s v="1"/>
    <n v="1450000"/>
    <x v="32"/>
    <s v="2134"/>
    <x v="1"/>
    <x v="1"/>
  </r>
  <r>
    <s v="11/21 GEORGE STREET BURWOOD NSW 2134"/>
    <x v="0"/>
    <x v="57"/>
    <s v="2"/>
    <s v="1"/>
    <s v="1"/>
    <n v="1450000"/>
    <x v="32"/>
    <s v="2134"/>
    <x v="1"/>
    <x v="1"/>
  </r>
  <r>
    <s v="14/21 GEORGE STREET BURWOOD NSW 2134"/>
    <x v="0"/>
    <x v="57"/>
    <s v="2"/>
    <s v="1"/>
    <s v="1"/>
    <n v="1450000"/>
    <x v="32"/>
    <s v="2134"/>
    <x v="1"/>
    <x v="1"/>
  </r>
  <r>
    <s v="15/21 GEORGE STREET BURWOOD NSW 2134"/>
    <x v="0"/>
    <x v="57"/>
    <s v="2"/>
    <s v="1"/>
    <s v="1"/>
    <n v="1450000"/>
    <x v="32"/>
    <s v="2134"/>
    <x v="1"/>
    <x v="1"/>
  </r>
  <r>
    <s v="16/21 GEORGE STREET BURWOOD NSW 2134"/>
    <x v="0"/>
    <x v="57"/>
    <s v="2"/>
    <s v="1"/>
    <s v="N/A"/>
    <n v="1450000"/>
    <x v="32"/>
    <s v="2134"/>
    <x v="1"/>
    <x v="1"/>
  </r>
  <r>
    <s v="6/30-32 PARK AVENUE BURWOOD NSW 2134"/>
    <x v="0"/>
    <x v="6"/>
    <s v="2"/>
    <s v="1"/>
    <s v="1"/>
    <n v="850000"/>
    <x v="32"/>
    <s v="2134"/>
    <x v="1"/>
    <x v="7"/>
  </r>
  <r>
    <s v="10/34-38 PARK AVENUE BURWOOD NSW 2134"/>
    <x v="0"/>
    <x v="6"/>
    <s v="2"/>
    <s v="1"/>
    <s v="2"/>
    <n v="1040000"/>
    <x v="32"/>
    <s v="2134"/>
    <x v="1"/>
    <x v="1"/>
  </r>
  <r>
    <s v="1305/39 BELMORE STREET BURWOOD NSW 2134"/>
    <x v="0"/>
    <x v="6"/>
    <s v="2"/>
    <s v="1"/>
    <s v="N/A"/>
    <n v="1180000"/>
    <x v="33"/>
    <s v="2134"/>
    <x v="1"/>
    <x v="1"/>
  </r>
  <r>
    <s v="202/15-19 CLARENCE STREET BURWOOD NSW 2134"/>
    <x v="0"/>
    <x v="6"/>
    <s v="2"/>
    <s v="2"/>
    <s v="N/A"/>
    <n v="1250000"/>
    <x v="33"/>
    <s v="2134"/>
    <x v="1"/>
    <x v="1"/>
  </r>
  <r>
    <s v="903A/68-72 RAILWAY PARADE BURWOOD NSW 2134"/>
    <x v="0"/>
    <x v="47"/>
    <s v="N/A"/>
    <s v="N/A"/>
    <s v="N/A"/>
    <n v="1300000"/>
    <x v="33"/>
    <s v="2134"/>
    <x v="1"/>
    <x v="1"/>
  </r>
  <r>
    <s v="502/3 WILGA STREET BURWOOD NSW 2134"/>
    <x v="0"/>
    <x v="6"/>
    <s v="1"/>
    <s v="1"/>
    <s v="1"/>
    <n v="720000"/>
    <x v="33"/>
    <s v="2134"/>
    <x v="1"/>
    <x v="4"/>
  </r>
  <r>
    <s v="106/39 BELMORE STREET BURWOOD NSW 2134"/>
    <x v="0"/>
    <x v="6"/>
    <s v="2"/>
    <s v="2"/>
    <s v="N/A"/>
    <n v="970000"/>
    <x v="34"/>
    <s v="2134"/>
    <x v="1"/>
    <x v="8"/>
  </r>
  <r>
    <s v="9 OXFORD STREET BURWOOD NSW 2134"/>
    <x v="1"/>
    <x v="6"/>
    <s v="4"/>
    <s v="3"/>
    <s v="2"/>
    <n v="1750000"/>
    <x v="35"/>
    <s v="2134"/>
    <x v="1"/>
    <x v="1"/>
  </r>
  <r>
    <s v="11 OXFORD STREET BURWOOD NSW 2134"/>
    <x v="1"/>
    <x v="6"/>
    <s v="3"/>
    <s v="1"/>
    <s v="N/A"/>
    <n v="1050000"/>
    <x v="35"/>
    <s v="2134"/>
    <x v="1"/>
    <x v="1"/>
  </r>
  <r>
    <s v="11/4 RAILWAY PARADE BURWOOD NSW 2134"/>
    <x v="0"/>
    <x v="6"/>
    <s v="N/A"/>
    <s v="N/A"/>
    <s v="N/A"/>
    <n v="1925000"/>
    <x v="35"/>
    <s v="2134"/>
    <x v="1"/>
    <x v="1"/>
  </r>
  <r>
    <s v="5/18 RAILWAY PARADE BURWOOD NSW 2134"/>
    <x v="0"/>
    <x v="6"/>
    <s v="2"/>
    <s v="1"/>
    <s v="N/A"/>
    <n v="1400000"/>
    <x v="35"/>
    <s v="2134"/>
    <x v="1"/>
    <x v="1"/>
  </r>
  <r>
    <s v="100 WENTWORTH ROAD BURWOOD NSW 2134"/>
    <x v="1"/>
    <x v="6"/>
    <s v="3"/>
    <s v="2"/>
    <s v="2"/>
    <n v="1750000"/>
    <x v="35"/>
    <s v="2134"/>
    <x v="1"/>
    <x v="1"/>
  </r>
  <r>
    <s v="37/16-22 BURWOOD ROAD BURWOOD NSW 2134"/>
    <x v="0"/>
    <x v="58"/>
    <s v="1"/>
    <s v="1"/>
    <s v="N/A"/>
    <n v="600000"/>
    <x v="36"/>
    <s v="2134"/>
    <x v="1"/>
    <x v="0"/>
  </r>
  <r>
    <s v="50 BURWOOD ROAD BURWOOD NSW 2134"/>
    <x v="0"/>
    <x v="6"/>
    <s v="2"/>
    <s v="1"/>
    <s v="1"/>
    <n v="3000000"/>
    <x v="36"/>
    <s v="2134"/>
    <x v="1"/>
    <x v="1"/>
  </r>
  <r>
    <s v="30 WELDON STREET BURWOOD NSW 2134"/>
    <x v="1"/>
    <x v="15"/>
    <s v="4"/>
    <s v="2"/>
    <s v="1"/>
    <n v="2600000"/>
    <x v="36"/>
    <s v="2134"/>
    <x v="1"/>
    <x v="1"/>
  </r>
  <r>
    <s v="3/54-56 WENTWORTH ROAD BURWOOD NSW 2134"/>
    <x v="0"/>
    <x v="59"/>
    <s v="2"/>
    <s v="1"/>
    <s v="1"/>
    <n v="772000"/>
    <x v="36"/>
    <s v="2134"/>
    <x v="1"/>
    <x v="4"/>
  </r>
  <r>
    <s v="1005/29 BELMORE STREET BURWOOD NSW 2134"/>
    <x v="0"/>
    <x v="6"/>
    <s v="2"/>
    <s v="2"/>
    <s v="1"/>
    <n v="998000"/>
    <x v="37"/>
    <s v="2134"/>
    <x v="1"/>
    <x v="8"/>
  </r>
  <r>
    <s v="18 BOLD STREET BURWOOD NSW 2134"/>
    <x v="1"/>
    <x v="53"/>
    <s v="4"/>
    <s v="2"/>
    <s v="N/A"/>
    <n v="3470000"/>
    <x v="37"/>
    <s v="2134"/>
    <x v="1"/>
    <x v="1"/>
  </r>
  <r>
    <s v="20A CONDER STREET BURWOOD NSW 2134"/>
    <x v="1"/>
    <x v="53"/>
    <s v="4"/>
    <s v="2"/>
    <s v="2"/>
    <n v="4300000"/>
    <x v="37"/>
    <s v="2134"/>
    <x v="1"/>
    <x v="1"/>
  </r>
  <r>
    <s v="4/38 BELMORE STREET BURWOOD NSW 2134"/>
    <x v="0"/>
    <x v="60"/>
    <s v="2"/>
    <s v="2"/>
    <s v="N/A"/>
    <n v="780000"/>
    <x v="38"/>
    <s v="2134"/>
    <x v="1"/>
    <x v="4"/>
  </r>
  <r>
    <s v="202/2A ELSIE STREET BURWOOD NSW 2134"/>
    <x v="0"/>
    <x v="6"/>
    <s v="2"/>
    <s v="2"/>
    <s v="1"/>
    <n v="950000"/>
    <x v="38"/>
    <s v="2134"/>
    <x v="1"/>
    <x v="8"/>
  </r>
  <r>
    <s v="1010/39 BELMORE STREET BURWOOD NSW 2134"/>
    <x v="0"/>
    <x v="6"/>
    <s v="2"/>
    <s v="2"/>
    <s v="1"/>
    <n v="1000000"/>
    <x v="40"/>
    <s v="2134"/>
    <x v="1"/>
    <x v="8"/>
  </r>
  <r>
    <s v="508/7 CONDER STREET BURWOOD NSW 2134"/>
    <x v="0"/>
    <x v="6"/>
    <s v="2"/>
    <s v="2"/>
    <s v="1"/>
    <n v="980000"/>
    <x v="40"/>
    <s v="2134"/>
    <x v="1"/>
    <x v="8"/>
  </r>
  <r>
    <s v="17 PARK ROAD BURWOOD NSW 2134"/>
    <x v="1"/>
    <x v="61"/>
    <s v="3"/>
    <s v="1"/>
    <s v="1"/>
    <n v="1860000"/>
    <x v="41"/>
    <s v="2134"/>
    <x v="1"/>
    <x v="1"/>
  </r>
  <r>
    <s v="206/3 WILGA STREET BURWOOD NSW 2134"/>
    <x v="0"/>
    <x v="62"/>
    <s v="2"/>
    <s v="2"/>
    <s v="1"/>
    <n v="885000"/>
    <x v="41"/>
    <s v="2134"/>
    <x v="1"/>
    <x v="7"/>
  </r>
  <r>
    <s v="503/15 GEORGE STREET BURWOOD NSW 2134"/>
    <x v="0"/>
    <x v="6"/>
    <s v="N/A"/>
    <s v="N/A"/>
    <s v="N/A"/>
    <n v="720000"/>
    <x v="42"/>
    <s v="2134"/>
    <x v="1"/>
    <x v="4"/>
  </r>
  <r>
    <s v="74A LUCAS ROAD BURWOOD NSW 2134"/>
    <x v="1"/>
    <x v="5"/>
    <s v="2"/>
    <s v="1"/>
    <s v="N/A"/>
    <n v="1586000"/>
    <x v="42"/>
    <s v="2134"/>
    <x v="1"/>
    <x v="1"/>
  </r>
  <r>
    <s v="24A MT PLEASANT AVENUE BURWOOD NSW 2134"/>
    <x v="1"/>
    <x v="43"/>
    <s v="4"/>
    <s v="3"/>
    <s v="4"/>
    <n v="3265000"/>
    <x v="42"/>
    <s v="2134"/>
    <x v="1"/>
    <x v="1"/>
  </r>
  <r>
    <s v="53/61-71 QUEEN STREET AUBURN NSW 2144"/>
    <x v="0"/>
    <x v="0"/>
    <s v="2"/>
    <s v="2"/>
    <s v="1"/>
    <n v="582000"/>
    <x v="0"/>
    <m/>
    <x v="2"/>
    <x v="0"/>
  </r>
  <r>
    <s v="42 PINE ROAD AUBURN NSW 2144"/>
    <x v="1"/>
    <x v="1"/>
    <s v="5"/>
    <s v="2"/>
    <s v="1"/>
    <n v="1588000"/>
    <x v="1"/>
    <m/>
    <x v="2"/>
    <x v="1"/>
  </r>
  <r>
    <s v="43 KIRKHAM ROAD AUBURN NSW 2144"/>
    <x v="1"/>
    <x v="2"/>
    <s v="5"/>
    <s v="2"/>
    <s v="2"/>
    <n v="2350000"/>
    <x v="2"/>
    <m/>
    <x v="2"/>
    <x v="1"/>
  </r>
  <r>
    <s v="20/27-29 MARY STREET AUBURN NSW 2144"/>
    <x v="0"/>
    <x v="2"/>
    <s v="2"/>
    <s v="2"/>
    <s v="N/A"/>
    <n v="587000"/>
    <x v="2"/>
    <m/>
    <x v="2"/>
    <x v="0"/>
  </r>
  <r>
    <s v="41/2 MACQUARIE ROAD AUBURN NSW 2144"/>
    <x v="0"/>
    <x v="3"/>
    <s v="2"/>
    <s v="2"/>
    <s v="N/A"/>
    <n v="510000"/>
    <x v="3"/>
    <m/>
    <x v="2"/>
    <x v="0"/>
  </r>
  <r>
    <s v="23 CARNEGIE STREET AUBURN NSW 2144"/>
    <x v="1"/>
    <x v="4"/>
    <s v="3"/>
    <s v="2"/>
    <s v="1"/>
    <n v="1266666"/>
    <x v="4"/>
    <m/>
    <x v="2"/>
    <x v="1"/>
  </r>
  <r>
    <s v="97 CUMBERLAND ROAD AUBURN NSW 2144"/>
    <x v="1"/>
    <x v="2"/>
    <s v="4"/>
    <s v="2"/>
    <s v="2"/>
    <n v="1976000"/>
    <x v="4"/>
    <m/>
    <x v="2"/>
    <x v="1"/>
  </r>
  <r>
    <s v="2/5 GIBBONS STREET AUBURN NSW 2144"/>
    <x v="0"/>
    <x v="2"/>
    <s v="2"/>
    <s v="1"/>
    <s v="1"/>
    <n v="490000"/>
    <x v="4"/>
    <m/>
    <x v="2"/>
    <x v="2"/>
  </r>
  <r>
    <s v="31/6-14 PARK ROAD AUBURN NSW 2144"/>
    <x v="0"/>
    <x v="5"/>
    <s v="3"/>
    <s v="2"/>
    <s v="N/A"/>
    <n v="670000"/>
    <x v="4"/>
    <m/>
    <x v="2"/>
    <x v="3"/>
  </r>
  <r>
    <s v="5105/57-59 QUEEN STREET AUBURN NSW 2144"/>
    <x v="0"/>
    <x v="6"/>
    <s v="3"/>
    <s v="2"/>
    <s v="1"/>
    <n v="680000"/>
    <x v="4"/>
    <m/>
    <x v="2"/>
    <x v="3"/>
  </r>
  <r>
    <s v="3 BELGIUM STREET AUBURN NSW 2144"/>
    <x v="1"/>
    <x v="7"/>
    <s v="6"/>
    <s v="4"/>
    <s v="2"/>
    <n v="2220000"/>
    <x v="5"/>
    <m/>
    <x v="2"/>
    <x v="1"/>
  </r>
  <r>
    <s v="4/11 GIBBONS STREET AUBURN NSW 2144"/>
    <x v="0"/>
    <x v="2"/>
    <s v="2"/>
    <s v="1"/>
    <s v="1"/>
    <n v="475000"/>
    <x v="5"/>
    <m/>
    <x v="2"/>
    <x v="2"/>
  </r>
  <r>
    <s v="22/67A HARROW ROAD AUBURN NSW 2144"/>
    <x v="0"/>
    <x v="8"/>
    <s v="2"/>
    <s v="1"/>
    <s v="1"/>
    <n v="450000"/>
    <x v="5"/>
    <m/>
    <x v="2"/>
    <x v="2"/>
  </r>
  <r>
    <s v="85/2 MACQUARIE ROAD AUBURN NSW 2144"/>
    <x v="0"/>
    <x v="1"/>
    <s v="3"/>
    <s v="2"/>
    <s v="1"/>
    <n v="640000"/>
    <x v="5"/>
    <m/>
    <x v="2"/>
    <x v="3"/>
  </r>
  <r>
    <s v="64 MONA STREET AUBURN NSW 2144"/>
    <x v="1"/>
    <x v="2"/>
    <s v="3"/>
    <s v="2"/>
    <s v="1"/>
    <n v="1590000"/>
    <x v="5"/>
    <m/>
    <x v="2"/>
    <x v="1"/>
  </r>
  <r>
    <s v="25 MOUNT AUBURN ROAD AUBURN NSW 2144"/>
    <x v="1"/>
    <x v="4"/>
    <s v="4"/>
    <s v="1"/>
    <s v="4"/>
    <n v="1690000"/>
    <x v="5"/>
    <m/>
    <x v="2"/>
    <x v="1"/>
  </r>
  <r>
    <s v="14 NORMANBY ROAD AUBURN NSW 2144"/>
    <x v="1"/>
    <x v="6"/>
    <s v="4"/>
    <s v="2"/>
    <s v="1"/>
    <n v="550000"/>
    <x v="5"/>
    <m/>
    <x v="2"/>
    <x v="0"/>
  </r>
  <r>
    <s v="24 CHISWICK ROAD AUBURN NSW 2144"/>
    <x v="1"/>
    <x v="9"/>
    <s v="3"/>
    <s v="1"/>
    <s v="N/A"/>
    <n v="1305000"/>
    <x v="6"/>
    <m/>
    <x v="2"/>
    <x v="1"/>
  </r>
  <r>
    <s v="507/28B NORTHUMBERLAND ROAD AUBURN NSW 2144"/>
    <x v="0"/>
    <x v="10"/>
    <s v="2"/>
    <s v="2"/>
    <s v="1"/>
    <n v="715000"/>
    <x v="7"/>
    <m/>
    <x v="2"/>
    <x v="4"/>
  </r>
  <r>
    <s v="67 MONA STREET AUBURN NSW 2144"/>
    <x v="1"/>
    <x v="2"/>
    <s v="2"/>
    <s v="1"/>
    <s v="1"/>
    <n v="1030000"/>
    <x v="8"/>
    <m/>
    <x v="2"/>
    <x v="1"/>
  </r>
  <r>
    <s v="114/22-30 STATION ROAD AUBURN NSW 2144"/>
    <x v="0"/>
    <x v="6"/>
    <s v="1"/>
    <s v="1"/>
    <s v="1"/>
    <n v="415000"/>
    <x v="8"/>
    <m/>
    <x v="2"/>
    <x v="2"/>
  </r>
  <r>
    <s v="8/55-57 SUSAN STREET AUBURN NSW 2144"/>
    <x v="0"/>
    <x v="11"/>
    <s v="4"/>
    <s v="3"/>
    <s v="N/A"/>
    <n v="1120000"/>
    <x v="8"/>
    <m/>
    <x v="2"/>
    <x v="1"/>
  </r>
  <r>
    <s v="54 ALICE STREET AUBURN NSW 2144"/>
    <x v="1"/>
    <x v="2"/>
    <s v="3"/>
    <s v="3"/>
    <s v="1"/>
    <n v="1905000"/>
    <x v="9"/>
    <m/>
    <x v="2"/>
    <x v="1"/>
  </r>
  <r>
    <s v="1/190 PARK ROAD AUBURN NSW 2144"/>
    <x v="0"/>
    <x v="12"/>
    <s v="3"/>
    <s v="2"/>
    <s v="N/A"/>
    <n v="700000"/>
    <x v="9"/>
    <m/>
    <x v="2"/>
    <x v="3"/>
  </r>
  <r>
    <s v="11/2A UNION ROAD AUBURN NSW 2144"/>
    <x v="1"/>
    <x v="2"/>
    <s v="2"/>
    <s v="1"/>
    <s v="1"/>
    <n v="370000"/>
    <x v="9"/>
    <m/>
    <x v="2"/>
    <x v="5"/>
  </r>
  <r>
    <s v="203 AUBURN ROAD AUBURN NSW 2144"/>
    <x v="1"/>
    <x v="8"/>
    <s v="5"/>
    <s v="2"/>
    <s v="1"/>
    <n v="1905000"/>
    <x v="10"/>
    <m/>
    <x v="2"/>
    <x v="1"/>
  </r>
  <r>
    <s v="47 HAMPSTEAD ROAD AUBURN NSW 2144"/>
    <x v="1"/>
    <x v="6"/>
    <s v="2"/>
    <s v="2"/>
    <s v="1"/>
    <n v="650000"/>
    <x v="10"/>
    <m/>
    <x v="2"/>
    <x v="3"/>
  </r>
  <r>
    <s v="6/85 NORTHUMBERLAND ROAD AUBURN NSW 2144"/>
    <x v="0"/>
    <x v="3"/>
    <s v="2"/>
    <s v="1"/>
    <s v="1"/>
    <n v="475000"/>
    <x v="10"/>
    <m/>
    <x v="2"/>
    <x v="2"/>
  </r>
  <r>
    <s v="8 COVER STREET AUBURN NSW 2144"/>
    <x v="1"/>
    <x v="2"/>
    <s v="3"/>
    <s v="1"/>
    <s v="1"/>
    <n v="1280000"/>
    <x v="11"/>
    <m/>
    <x v="2"/>
    <x v="1"/>
  </r>
  <r>
    <s v="22 PARK ROAD AUBURN NSW 2144"/>
    <x v="1"/>
    <x v="13"/>
    <s v="N/A"/>
    <s v="N/A"/>
    <s v="N/A"/>
    <n v="8500000"/>
    <x v="11"/>
    <m/>
    <x v="2"/>
    <x v="1"/>
  </r>
  <r>
    <s v="24 PARK ROAD AUBURN NSW 2144"/>
    <x v="1"/>
    <x v="6"/>
    <s v="3"/>
    <s v="1"/>
    <s v="N/A"/>
    <n v="8500000"/>
    <x v="11"/>
    <m/>
    <x v="2"/>
    <x v="1"/>
  </r>
  <r>
    <s v="2/15 MACQUARIE ROAD AUBURN NSW 2144"/>
    <x v="0"/>
    <x v="6"/>
    <s v="2"/>
    <s v="1"/>
    <s v="1"/>
    <n v="428000"/>
    <x v="12"/>
    <m/>
    <x v="2"/>
    <x v="2"/>
  </r>
  <r>
    <s v="50/188 SOUTH PARADE AUBURN NSW 2144"/>
    <x v="0"/>
    <x v="14"/>
    <s v="2"/>
    <s v="2"/>
    <s v="2"/>
    <n v="570000"/>
    <x v="12"/>
    <m/>
    <x v="2"/>
    <x v="0"/>
  </r>
  <r>
    <s v="132/2 MACQUARIE ROAD AUBURN NSW 2144"/>
    <x v="0"/>
    <x v="6"/>
    <s v="2"/>
    <s v="2"/>
    <s v="N/A"/>
    <n v="490000"/>
    <x v="13"/>
    <m/>
    <x v="2"/>
    <x v="2"/>
  </r>
  <r>
    <s v="16 NORTH STREET AUBURN NSW 2144"/>
    <x v="1"/>
    <x v="2"/>
    <s v="5"/>
    <s v="3"/>
    <s v="2"/>
    <n v="2400000"/>
    <x v="13"/>
    <m/>
    <x v="2"/>
    <x v="1"/>
  </r>
  <r>
    <s v="158/6-14 PARK ROAD AUBURN NSW 2144"/>
    <x v="0"/>
    <x v="15"/>
    <s v="2"/>
    <s v="2"/>
    <s v="N/A"/>
    <n v="642500"/>
    <x v="13"/>
    <m/>
    <x v="2"/>
    <x v="3"/>
  </r>
  <r>
    <s v="805/28B NORTHUMBERLAND ROAD AUBURN NSW 2144"/>
    <x v="0"/>
    <x v="6"/>
    <s v="1"/>
    <s v="1"/>
    <s v="N/A"/>
    <n v="537000"/>
    <x v="14"/>
    <m/>
    <x v="2"/>
    <x v="0"/>
  </r>
  <r>
    <s v="4/340 CHISHOLM ROAD AUBURN NSW 2144"/>
    <x v="0"/>
    <x v="6"/>
    <s v="N/A"/>
    <s v="N/A"/>
    <s v="2"/>
    <n v="1580000"/>
    <x v="15"/>
    <m/>
    <x v="2"/>
    <x v="1"/>
  </r>
  <r>
    <s v="270A CUMBERLAND ROAD AUBURN NSW 2144"/>
    <x v="0"/>
    <x v="6"/>
    <s v="4"/>
    <s v="2"/>
    <s v="2"/>
    <n v="170000"/>
    <x v="15"/>
    <m/>
    <x v="2"/>
    <x v="6"/>
  </r>
  <r>
    <s v="40A HELENA STREET AUBURN NSW 2144"/>
    <x v="1"/>
    <x v="16"/>
    <s v="3"/>
    <s v="3"/>
    <s v="1"/>
    <n v="1360000"/>
    <x v="15"/>
    <m/>
    <x v="2"/>
    <x v="1"/>
  </r>
  <r>
    <s v="4/40-46 STATION ROAD AUBURN NSW 2144"/>
    <x v="0"/>
    <x v="2"/>
    <s v="3"/>
    <s v="2"/>
    <s v="1"/>
    <n v="659000"/>
    <x v="15"/>
    <m/>
    <x v="2"/>
    <x v="3"/>
  </r>
  <r>
    <s v="8/10 DARTBROOK ROAD AUBURN NSW 2144"/>
    <x v="0"/>
    <x v="17"/>
    <s v="1"/>
    <s v="1"/>
    <s v="1"/>
    <n v="365000"/>
    <x v="16"/>
    <m/>
    <x v="2"/>
    <x v="5"/>
  </r>
  <r>
    <s v="18/19 DARTBROOK ROAD AUBURN NSW 2144"/>
    <x v="0"/>
    <x v="2"/>
    <s v="1"/>
    <s v="1"/>
    <s v="1"/>
    <n v="418000"/>
    <x v="16"/>
    <m/>
    <x v="2"/>
    <x v="2"/>
  </r>
  <r>
    <s v="1/55 NORTHUMBERLAND ROAD AUBURN NSW 2144"/>
    <x v="0"/>
    <x v="18"/>
    <s v="3"/>
    <s v="2"/>
    <s v="1"/>
    <n v="875000"/>
    <x v="16"/>
    <m/>
    <x v="2"/>
    <x v="7"/>
  </r>
  <r>
    <s v="9/26-30 ST HILLIERS ROAD AUBURN NSW 2144"/>
    <x v="0"/>
    <x v="8"/>
    <s v="2"/>
    <s v="1"/>
    <s v="1"/>
    <n v="420000"/>
    <x v="16"/>
    <m/>
    <x v="2"/>
    <x v="2"/>
  </r>
  <r>
    <s v="35/3-11 NORMANBY ROAD AUBURN NSW 2144"/>
    <x v="0"/>
    <x v="19"/>
    <s v="2"/>
    <s v="1"/>
    <s v="N/A"/>
    <n v="568000"/>
    <x v="17"/>
    <m/>
    <x v="2"/>
    <x v="0"/>
  </r>
  <r>
    <s v="300 CHISHOLM ROAD AUBURN NSW 2144"/>
    <x v="1"/>
    <x v="20"/>
    <s v="3"/>
    <s v="1"/>
    <s v="2"/>
    <n v="1202000"/>
    <x v="18"/>
    <m/>
    <x v="2"/>
    <x v="1"/>
  </r>
  <r>
    <s v="5/97 DARTBROOK ROAD AUBURN NSW 2144"/>
    <x v="0"/>
    <x v="3"/>
    <s v="2"/>
    <s v="1"/>
    <s v="N/A"/>
    <n v="478888"/>
    <x v="18"/>
    <m/>
    <x v="2"/>
    <x v="2"/>
  </r>
  <r>
    <s v="14 GIBBONS STREET AUBURN NSW 2144"/>
    <x v="1"/>
    <x v="21"/>
    <s v="3"/>
    <s v="1"/>
    <s v="1"/>
    <n v="1700000"/>
    <x v="18"/>
    <m/>
    <x v="2"/>
    <x v="1"/>
  </r>
  <r>
    <s v="25 LOUISA STREET AUBURN NSW 2144"/>
    <x v="1"/>
    <x v="22"/>
    <s v="4"/>
    <s v="1"/>
    <s v="1"/>
    <n v="1800000"/>
    <x v="18"/>
    <m/>
    <x v="2"/>
    <x v="1"/>
  </r>
  <r>
    <s v="3/40-46 ST HILLIERS ROAD AUBURN NSW 2144"/>
    <x v="0"/>
    <x v="3"/>
    <s v="2"/>
    <s v="1"/>
    <s v="N/A"/>
    <n v="450000"/>
    <x v="18"/>
    <m/>
    <x v="2"/>
    <x v="2"/>
  </r>
  <r>
    <s v="22/27-29 MARY STREET AUBURN NSW 2144"/>
    <x v="1"/>
    <x v="23"/>
    <s v="2"/>
    <s v="2"/>
    <s v="N/A"/>
    <n v="570000"/>
    <x v="19"/>
    <m/>
    <x v="2"/>
    <x v="0"/>
  </r>
  <r>
    <s v="23A RAGLAN ROAD AUBURN NSW 2144"/>
    <x v="1"/>
    <x v="6"/>
    <s v="4"/>
    <s v="2"/>
    <s v="2"/>
    <n v="1470000"/>
    <x v="19"/>
    <m/>
    <x v="2"/>
    <x v="1"/>
  </r>
  <r>
    <s v="556/22-30 STATION ROAD AUBURN NSW 2144"/>
    <x v="0"/>
    <x v="6"/>
    <s v="2"/>
    <s v="2"/>
    <s v="N/A"/>
    <n v="635000"/>
    <x v="19"/>
    <m/>
    <x v="2"/>
    <x v="3"/>
  </r>
  <r>
    <s v="60/2 MACQUARIE ROAD AUBURN NSW 2144"/>
    <x v="0"/>
    <x v="24"/>
    <s v="2"/>
    <s v="1"/>
    <s v="N/A"/>
    <n v="458000"/>
    <x v="20"/>
    <m/>
    <x v="2"/>
    <x v="2"/>
  </r>
  <r>
    <s v="4/89 NORTHUMBERLAND ROAD AUBURN NSW 2144"/>
    <x v="0"/>
    <x v="1"/>
    <s v="2"/>
    <s v="1"/>
    <s v="1"/>
    <n v="467000"/>
    <x v="20"/>
    <m/>
    <x v="2"/>
    <x v="2"/>
  </r>
  <r>
    <s v="14/66-68 STATION ROAD AUBURN NSW 2144"/>
    <x v="0"/>
    <x v="1"/>
    <s v="2"/>
    <s v="1"/>
    <s v="1"/>
    <n v="495000"/>
    <x v="20"/>
    <m/>
    <x v="2"/>
    <x v="2"/>
  </r>
  <r>
    <s v="14/15 HARROW ROAD AUBURN NSW 2144"/>
    <x v="0"/>
    <x v="2"/>
    <s v="2"/>
    <s v="1"/>
    <s v="1"/>
    <n v="370000"/>
    <x v="21"/>
    <m/>
    <x v="2"/>
    <x v="5"/>
  </r>
  <r>
    <s v="14 FRASER STREET AUBURN NSW 2144"/>
    <x v="1"/>
    <x v="8"/>
    <s v="5"/>
    <s v="2"/>
    <s v="2"/>
    <n v="1416000"/>
    <x v="22"/>
    <m/>
    <x v="2"/>
    <x v="1"/>
  </r>
  <r>
    <s v="9 ST JOHNS AVENUE AUBURN NSW 2144"/>
    <x v="1"/>
    <x v="25"/>
    <s v="4"/>
    <s v="2"/>
    <s v="N/A"/>
    <n v="1830000"/>
    <x v="22"/>
    <m/>
    <x v="2"/>
    <x v="1"/>
  </r>
  <r>
    <s v="9/29 ST JOHNS ROAD AUBURN NSW 2144"/>
    <x v="0"/>
    <x v="26"/>
    <s v="3"/>
    <s v="2"/>
    <s v="2"/>
    <n v="875000"/>
    <x v="22"/>
    <m/>
    <x v="2"/>
    <x v="7"/>
  </r>
  <r>
    <s v="909/5 NORTHUMBERLAND ROAD AUBURN NSW 2144"/>
    <x v="0"/>
    <x v="6"/>
    <s v="2"/>
    <s v="2"/>
    <s v="N/A"/>
    <n v="668000"/>
    <x v="23"/>
    <m/>
    <x v="2"/>
    <x v="3"/>
  </r>
  <r>
    <s v="7/8-10 NORTHUMBERLAND ROAD AUBURN NSW 2144"/>
    <x v="0"/>
    <x v="6"/>
    <s v="3"/>
    <s v="2"/>
    <s v="2"/>
    <n v="629000"/>
    <x v="23"/>
    <m/>
    <x v="2"/>
    <x v="3"/>
  </r>
  <r>
    <s v="3/45 EDGAR STREET AUBURN NSW 2144"/>
    <x v="0"/>
    <x v="2"/>
    <s v="3"/>
    <s v="2"/>
    <s v="2"/>
    <n v="875000"/>
    <x v="24"/>
    <m/>
    <x v="2"/>
    <x v="7"/>
  </r>
  <r>
    <s v="22 HEATH STREET AUBURN NSW 2144"/>
    <x v="1"/>
    <x v="8"/>
    <s v="3"/>
    <s v="2"/>
    <s v="N/A"/>
    <n v="1620000"/>
    <x v="24"/>
    <m/>
    <x v="2"/>
    <x v="1"/>
  </r>
  <r>
    <s v="3/17 MACQUARIE ROAD AUBURN NSW 2144"/>
    <x v="0"/>
    <x v="27"/>
    <s v="2"/>
    <s v="1"/>
    <s v="1"/>
    <n v="596000"/>
    <x v="24"/>
    <m/>
    <x v="2"/>
    <x v="0"/>
  </r>
  <r>
    <s v="16/176 SOUTH PARADE AUBURN NSW 2144"/>
    <x v="0"/>
    <x v="6"/>
    <s v="2"/>
    <s v="2"/>
    <s v="1"/>
    <n v="522000"/>
    <x v="24"/>
    <m/>
    <x v="2"/>
    <x v="0"/>
  </r>
  <r>
    <s v="7/48 ST HILLIERS ROAD AUBURN NSW 2144"/>
    <x v="0"/>
    <x v="24"/>
    <s v="2"/>
    <s v="2"/>
    <s v="N/A"/>
    <n v="550000"/>
    <x v="24"/>
    <m/>
    <x v="2"/>
    <x v="0"/>
  </r>
  <r>
    <s v="1/55-57 SUSAN STREET AUBURN NSW 2144"/>
    <x v="0"/>
    <x v="11"/>
    <s v="3"/>
    <s v="3"/>
    <s v="2"/>
    <n v="1035000"/>
    <x v="24"/>
    <m/>
    <x v="2"/>
    <x v="1"/>
  </r>
  <r>
    <s v="20/54-60 DARTBROOK ROAD AUBURN NSW 2144"/>
    <x v="0"/>
    <x v="28"/>
    <s v="2"/>
    <s v="2"/>
    <s v="N/A"/>
    <n v="550000"/>
    <x v="25"/>
    <m/>
    <x v="2"/>
    <x v="0"/>
  </r>
  <r>
    <s v="4/120 HARROW ROAD AUBURN NSW 2144"/>
    <x v="0"/>
    <x v="8"/>
    <s v="2"/>
    <s v="1"/>
    <s v="N/A"/>
    <n v="365000"/>
    <x v="25"/>
    <m/>
    <x v="2"/>
    <x v="5"/>
  </r>
  <r>
    <s v="4/43 MACQUARIE ROAD AUBURN NSW 2144"/>
    <x v="0"/>
    <x v="2"/>
    <s v="2"/>
    <s v="1"/>
    <s v="1"/>
    <n v="455000"/>
    <x v="25"/>
    <m/>
    <x v="2"/>
    <x v="2"/>
  </r>
  <r>
    <s v="1/31A PROVINCIAL STREET AUBURN NSW 2144"/>
    <x v="0"/>
    <x v="6"/>
    <s v="3"/>
    <s v="2"/>
    <s v="1"/>
    <n v="40000"/>
    <x v="25"/>
    <m/>
    <x v="2"/>
    <x v="6"/>
  </r>
  <r>
    <s v="29A COCKTHORPE ROAD AUBURN NSW 2144"/>
    <x v="0"/>
    <x v="6"/>
    <s v="3"/>
    <s v="3"/>
    <s v="2"/>
    <n v="650000"/>
    <x v="26"/>
    <m/>
    <x v="2"/>
    <x v="3"/>
  </r>
  <r>
    <s v="18 CORNWALL ROAD AUBURN NSW 2144"/>
    <x v="1"/>
    <x v="29"/>
    <s v="3"/>
    <s v="2"/>
    <s v="1"/>
    <n v="1260000"/>
    <x v="27"/>
    <m/>
    <x v="2"/>
    <x v="1"/>
  </r>
  <r>
    <s v="3/124 PARK ROAD AUBURN NSW 2144"/>
    <x v="0"/>
    <x v="6"/>
    <s v="3"/>
    <s v="1"/>
    <s v="1"/>
    <n v="880000"/>
    <x v="27"/>
    <m/>
    <x v="2"/>
    <x v="7"/>
  </r>
  <r>
    <s v="5111/57-59 QUEEN STREET AUBURN NSW 2144"/>
    <x v="0"/>
    <x v="6"/>
    <s v="2"/>
    <s v="2"/>
    <s v="9"/>
    <n v="615000"/>
    <x v="27"/>
    <m/>
    <x v="2"/>
    <x v="3"/>
  </r>
  <r>
    <s v="26 CASTLE STREET AUBURN NSW 2144"/>
    <x v="1"/>
    <x v="2"/>
    <s v="3"/>
    <s v="2"/>
    <s v="2"/>
    <n v="1100000"/>
    <x v="28"/>
    <m/>
    <x v="2"/>
    <x v="1"/>
  </r>
  <r>
    <s v="8/15 HALL STREET AUBURN NSW 2144"/>
    <x v="0"/>
    <x v="6"/>
    <s v="2"/>
    <s v="1"/>
    <s v="N/A"/>
    <n v="483000"/>
    <x v="28"/>
    <m/>
    <x v="2"/>
    <x v="2"/>
  </r>
  <r>
    <s v="5/87 STATION ROAD AUBURN NSW 2144"/>
    <x v="0"/>
    <x v="24"/>
    <s v="2"/>
    <s v="1"/>
    <s v="2"/>
    <n v="450000"/>
    <x v="28"/>
    <m/>
    <x v="2"/>
    <x v="2"/>
  </r>
  <r>
    <s v="4/89 STATION ROAD AUBURN NSW 2144"/>
    <x v="0"/>
    <x v="30"/>
    <s v="3"/>
    <s v="2"/>
    <s v="1"/>
    <n v="647000"/>
    <x v="28"/>
    <m/>
    <x v="2"/>
    <x v="3"/>
  </r>
  <r>
    <s v="1 VERONA STREET AUBURN NSW 2144"/>
    <x v="1"/>
    <x v="21"/>
    <s v="3"/>
    <s v="2"/>
    <s v="3"/>
    <n v="1978000"/>
    <x v="28"/>
    <m/>
    <x v="2"/>
    <x v="1"/>
  </r>
  <r>
    <s v="304/172 SOUTH PARADE AUBURN NSW 2144"/>
    <x v="0"/>
    <x v="6"/>
    <s v="2"/>
    <s v="2"/>
    <s v="N/A"/>
    <n v="610000"/>
    <x v="29"/>
    <m/>
    <x v="2"/>
    <x v="3"/>
  </r>
  <r>
    <s v="4 YILLOWRA STREET AUBURN NSW 2144"/>
    <x v="1"/>
    <x v="6"/>
    <s v="3"/>
    <s v="1"/>
    <s v="1"/>
    <n v="555000"/>
    <x v="30"/>
    <m/>
    <x v="2"/>
    <x v="0"/>
  </r>
  <r>
    <s v="121/6-14 PARK ROAD AUBURN NSW 2144"/>
    <x v="0"/>
    <x v="31"/>
    <s v="2"/>
    <s v="2"/>
    <s v="N/A"/>
    <n v="652250"/>
    <x v="31"/>
    <m/>
    <x v="2"/>
    <x v="3"/>
  </r>
  <r>
    <s v="2/78 WATER STREET AUBURN NSW 2144"/>
    <x v="0"/>
    <x v="6"/>
    <s v="2"/>
    <s v="1"/>
    <s v="1"/>
    <n v="330000"/>
    <x v="32"/>
    <m/>
    <x v="2"/>
    <x v="5"/>
  </r>
  <r>
    <s v="16/27-29 MARY STREET AUBURN NSW 2144"/>
    <x v="0"/>
    <x v="6"/>
    <s v="2"/>
    <s v="2"/>
    <s v="1"/>
    <n v="570000"/>
    <x v="33"/>
    <m/>
    <x v="2"/>
    <x v="0"/>
  </r>
  <r>
    <s v="5/93 NORTHUMBERLAND ROAD AUBURN NSW 2144"/>
    <x v="0"/>
    <x v="6"/>
    <s v="2"/>
    <s v="1"/>
    <s v="1"/>
    <n v="413000"/>
    <x v="33"/>
    <m/>
    <x v="2"/>
    <x v="2"/>
  </r>
  <r>
    <s v="152/6-14 PARK ROAD AUBURN NSW 2144"/>
    <x v="0"/>
    <x v="32"/>
    <s v="3"/>
    <s v="2"/>
    <s v="2"/>
    <n v="830000"/>
    <x v="33"/>
    <m/>
    <x v="2"/>
    <x v="7"/>
  </r>
  <r>
    <s v="4605/57-59 QUEEN STREET AUBURN NSW 2144"/>
    <x v="0"/>
    <x v="6"/>
    <s v="2"/>
    <s v="2"/>
    <s v="1"/>
    <n v="570000"/>
    <x v="33"/>
    <m/>
    <x v="2"/>
    <x v="0"/>
  </r>
  <r>
    <s v="7/68-70 ST HILLIERS ROAD AUBURN NSW 2144"/>
    <x v="0"/>
    <x v="6"/>
    <s v="2"/>
    <s v="1"/>
    <s v="1"/>
    <n v="420000"/>
    <x v="33"/>
    <m/>
    <x v="2"/>
    <x v="2"/>
  </r>
  <r>
    <s v="402/8 STATION ROAD AUBURN NSW 2144"/>
    <x v="0"/>
    <x v="33"/>
    <s v="2"/>
    <s v="2"/>
    <s v="N/A"/>
    <n v="620000"/>
    <x v="33"/>
    <m/>
    <x v="2"/>
    <x v="3"/>
  </r>
  <r>
    <s v="5/26 DARTBROOK ROAD AUBURN NSW 2144"/>
    <x v="0"/>
    <x v="3"/>
    <s v="2"/>
    <s v="1"/>
    <s v="N/A"/>
    <n v="421500"/>
    <x v="34"/>
    <m/>
    <x v="2"/>
    <x v="2"/>
  </r>
  <r>
    <s v="3/92 NORTHUMBERLAND ROAD AUBURN NSW 2144"/>
    <x v="0"/>
    <x v="6"/>
    <s v="2"/>
    <s v="1"/>
    <s v="1"/>
    <n v="463000"/>
    <x v="35"/>
    <m/>
    <x v="2"/>
    <x v="2"/>
  </r>
  <r>
    <s v="5079/57-59 QUEEN STREET AUBURN NSW 2144"/>
    <x v="0"/>
    <x v="6"/>
    <s v="3"/>
    <s v="2"/>
    <s v="1"/>
    <n v="320000"/>
    <x v="35"/>
    <m/>
    <x v="2"/>
    <x v="5"/>
  </r>
  <r>
    <s v="8/64 STATION ROAD AUBURN NSW 2144"/>
    <x v="0"/>
    <x v="24"/>
    <s v="2"/>
    <s v="1"/>
    <s v="1"/>
    <n v="418000"/>
    <x v="35"/>
    <m/>
    <x v="2"/>
    <x v="2"/>
  </r>
  <r>
    <s v="3/28 ELSHAM ROAD AUBURN NSW 2144"/>
    <x v="0"/>
    <x v="6"/>
    <s v="4"/>
    <s v="2"/>
    <s v="3"/>
    <n v="1088000"/>
    <x v="36"/>
    <m/>
    <x v="2"/>
    <x v="1"/>
  </r>
  <r>
    <s v="708/12 NORTHUMBERLAND ROAD AUBURN NSW 2144"/>
    <x v="0"/>
    <x v="34"/>
    <s v="1"/>
    <s v="1"/>
    <s v="1"/>
    <n v="450000"/>
    <x v="36"/>
    <m/>
    <x v="2"/>
    <x v="2"/>
  </r>
  <r>
    <s v="6/98 NORTHUMBERLAND ROAD AUBURN NSW 2144"/>
    <x v="0"/>
    <x v="6"/>
    <s v="2"/>
    <s v="1"/>
    <s v="1"/>
    <n v="495110"/>
    <x v="36"/>
    <m/>
    <x v="2"/>
    <x v="2"/>
  </r>
  <r>
    <s v="30/48 ST HILLIERS ROAD AUBURN NSW 2144"/>
    <x v="0"/>
    <x v="6"/>
    <s v="2"/>
    <s v="2"/>
    <s v="1"/>
    <n v="550000"/>
    <x v="36"/>
    <m/>
    <x v="2"/>
    <x v="0"/>
  </r>
  <r>
    <s v="4/76 STATION ROAD AUBURN NSW 2144"/>
    <x v="0"/>
    <x v="6"/>
    <s v="2"/>
    <s v="1"/>
    <s v="1"/>
    <n v="420000"/>
    <x v="36"/>
    <m/>
    <x v="2"/>
    <x v="2"/>
  </r>
  <r>
    <s v="3 EDGAR STREET AUBURN NSW 2144"/>
    <x v="1"/>
    <x v="6"/>
    <s v="3"/>
    <s v="3"/>
    <s v="3"/>
    <n v="1200000"/>
    <x v="37"/>
    <m/>
    <x v="2"/>
    <x v="1"/>
  </r>
  <r>
    <s v="25 ELM ROAD AUBURN NSW 2144"/>
    <x v="1"/>
    <x v="35"/>
    <s v="4"/>
    <s v="2"/>
    <s v="N/A"/>
    <n v="1720000"/>
    <x v="37"/>
    <m/>
    <x v="2"/>
    <x v="1"/>
  </r>
  <r>
    <s v="34 SUSAN STREET AUBURN NSW 2144"/>
    <x v="1"/>
    <x v="36"/>
    <s v="N/A"/>
    <s v="N/A"/>
    <s v="2"/>
    <n v="2400000"/>
    <x v="37"/>
    <m/>
    <x v="2"/>
    <x v="1"/>
  </r>
  <r>
    <s v="4/99 DARTBROOK ROAD AUBURN NSW 2144"/>
    <x v="0"/>
    <x v="2"/>
    <s v="2"/>
    <s v="1"/>
    <s v="1"/>
    <n v="428000"/>
    <x v="38"/>
    <m/>
    <x v="2"/>
    <x v="2"/>
  </r>
  <r>
    <s v="183/2 MACQUARIE ROAD AUBURN NSW 2144"/>
    <x v="0"/>
    <x v="37"/>
    <s v="2"/>
    <s v="2"/>
    <s v="1"/>
    <n v="508000"/>
    <x v="38"/>
    <m/>
    <x v="2"/>
    <x v="0"/>
  </r>
  <r>
    <s v="237 RAWSON STREET AUBURN NSW 2144"/>
    <x v="1"/>
    <x v="38"/>
    <s v="4"/>
    <s v="1"/>
    <s v="1"/>
    <n v="1403000"/>
    <x v="38"/>
    <m/>
    <x v="2"/>
    <x v="1"/>
  </r>
  <r>
    <s v="126 SOUTH PARADE AUBURN NSW 2144"/>
    <x v="1"/>
    <x v="6"/>
    <s v="2"/>
    <s v="1"/>
    <s v="1"/>
    <n v="2900000"/>
    <x v="38"/>
    <m/>
    <x v="2"/>
    <x v="1"/>
  </r>
  <r>
    <s v="28 FRASER STREET AUBURN NSW 2144"/>
    <x v="1"/>
    <x v="39"/>
    <s v="4"/>
    <s v="1"/>
    <s v="1"/>
    <n v="1240000"/>
    <x v="39"/>
    <m/>
    <x v="2"/>
    <x v="1"/>
  </r>
  <r>
    <s v="168 PARRAMATTA ROAD AUBURN NSW 2144"/>
    <x v="1"/>
    <x v="6"/>
    <s v="N/A"/>
    <s v="N/A"/>
    <s v="N/A"/>
    <n v="1055000"/>
    <x v="40"/>
    <m/>
    <x v="2"/>
    <x v="1"/>
  </r>
  <r>
    <s v="144 CHISHOLM ROAD AUBURN NSW 2144"/>
    <x v="1"/>
    <x v="2"/>
    <s v="3"/>
    <s v="2"/>
    <s v="2"/>
    <n v="1380000"/>
    <x v="41"/>
    <m/>
    <x v="2"/>
    <x v="1"/>
  </r>
  <r>
    <s v="46 EDGAR STREET AUBURN NSW 2144"/>
    <x v="1"/>
    <x v="2"/>
    <s v="5"/>
    <s v="3"/>
    <s v="N/A"/>
    <n v="1350000"/>
    <x v="41"/>
    <m/>
    <x v="2"/>
    <x v="1"/>
  </r>
  <r>
    <s v="205/28B NORTHUMBERLAND ROAD AUBURN NSW 2144"/>
    <x v="0"/>
    <x v="6"/>
    <s v="2"/>
    <s v="2"/>
    <s v="N/A"/>
    <n v="675000"/>
    <x v="41"/>
    <m/>
    <x v="2"/>
    <x v="3"/>
  </r>
  <r>
    <s v="2/94-96 ST HILLIERS ROAD AUBURN NSW 2144"/>
    <x v="0"/>
    <x v="40"/>
    <s v="2"/>
    <s v="1"/>
    <s v="N/A"/>
    <n v="420000"/>
    <x v="41"/>
    <m/>
    <x v="2"/>
    <x v="2"/>
  </r>
  <r>
    <s v="35 ST JOHNS ROAD AUBURN NSW 2144"/>
    <x v="1"/>
    <x v="6"/>
    <s v="3"/>
    <s v="2"/>
    <s v="2"/>
    <n v="1000000"/>
    <x v="41"/>
    <m/>
    <x v="2"/>
    <x v="8"/>
  </r>
  <r>
    <s v="887/22-30 STATION ROAD AUBURN NSW 2144"/>
    <x v="0"/>
    <x v="6"/>
    <s v="2"/>
    <s v="2"/>
    <s v="1"/>
    <n v="600000"/>
    <x v="41"/>
    <m/>
    <x v="2"/>
    <x v="0"/>
  </r>
  <r>
    <s v="3/103 DARTBROOK ROAD AUBURN NSW 2144"/>
    <x v="0"/>
    <x v="4"/>
    <s v="2"/>
    <s v="1"/>
    <s v="1"/>
    <n v="450000"/>
    <x v="42"/>
    <m/>
    <x v="2"/>
    <x v="2"/>
  </r>
  <r>
    <s v="5/23 ELSHAM ROAD AUBURN NSW 2144"/>
    <x v="0"/>
    <x v="21"/>
    <s v="3"/>
    <s v="1"/>
    <s v="N/A"/>
    <n v="790000"/>
    <x v="42"/>
    <m/>
    <x v="2"/>
    <x v="4"/>
  </r>
  <r>
    <s v="27 LUKE AVENUE BURWOOD NSW 2134"/>
    <x v="1"/>
    <x v="41"/>
    <s v="4"/>
    <s v="3"/>
    <s v="2"/>
    <n v="3520000"/>
    <x v="5"/>
    <m/>
    <x v="2"/>
    <x v="1"/>
  </r>
  <r>
    <s v="9/14-16 PARK AVENUE BURWOOD NSW 2134"/>
    <x v="0"/>
    <x v="42"/>
    <s v="2"/>
    <s v="1"/>
    <s v="1"/>
    <n v="930000"/>
    <x v="5"/>
    <m/>
    <x v="2"/>
    <x v="8"/>
  </r>
  <r>
    <s v="12/38-40 MERYLA STREET BURWOOD NSW 2134"/>
    <x v="0"/>
    <x v="43"/>
    <s v="2"/>
    <s v="1"/>
    <s v="1"/>
    <n v="888000"/>
    <x v="6"/>
    <m/>
    <x v="2"/>
    <x v="7"/>
  </r>
  <r>
    <s v="LOT 1/23 SHAFTESBURY ROAD BURWOOD NSW 2134"/>
    <x v="0"/>
    <x v="6"/>
    <s v="N/A"/>
    <s v="N/A"/>
    <s v="N/A"/>
    <n v="2481000"/>
    <x v="7"/>
    <m/>
    <x v="2"/>
    <x v="1"/>
  </r>
  <r>
    <s v="93/3 RAILWAY PARADE BURWOOD NSW 2134"/>
    <x v="0"/>
    <x v="44"/>
    <s v="2"/>
    <s v="2"/>
    <s v="1"/>
    <n v="750000"/>
    <x v="43"/>
    <m/>
    <x v="2"/>
    <x v="4"/>
  </r>
  <r>
    <s v="23 WELDON STREET BURWOOD NSW 2134"/>
    <x v="1"/>
    <x v="45"/>
    <s v="12"/>
    <s v="6"/>
    <s v="N/A"/>
    <n v="6980142"/>
    <x v="43"/>
    <m/>
    <x v="2"/>
    <x v="1"/>
  </r>
  <r>
    <s v="2 WYATT AVENUE BURWOOD NSW 2134"/>
    <x v="1"/>
    <x v="45"/>
    <s v="8"/>
    <s v="5"/>
    <s v="4"/>
    <n v="4019858"/>
    <x v="43"/>
    <m/>
    <x v="2"/>
    <x v="1"/>
  </r>
  <r>
    <s v="302/180-186 BURWOOD ROAD BURWOOD NSW 2134"/>
    <x v="0"/>
    <x v="6"/>
    <s v="N/A"/>
    <s v="N/A"/>
    <s v="N/A"/>
    <n v="1001000"/>
    <x v="8"/>
    <m/>
    <x v="2"/>
    <x v="1"/>
  </r>
  <r>
    <s v="1/3-13 COMER STREET BURWOOD NSW 2134"/>
    <x v="0"/>
    <x v="46"/>
    <s v="2"/>
    <s v="1"/>
    <s v="N/A"/>
    <n v="732000"/>
    <x v="8"/>
    <m/>
    <x v="2"/>
    <x v="4"/>
  </r>
  <r>
    <s v="24 ETHEL STREET BURWOOD NSW 2134"/>
    <x v="1"/>
    <x v="47"/>
    <s v="6"/>
    <s v="3"/>
    <s v="1"/>
    <n v="7000000"/>
    <x v="44"/>
    <m/>
    <x v="2"/>
    <x v="1"/>
  </r>
  <r>
    <s v="20 SHAFTESBURY ROAD BURWOOD NSW 2134"/>
    <x v="1"/>
    <x v="15"/>
    <s v="4"/>
    <s v="2"/>
    <s v="1"/>
    <n v="3100000"/>
    <x v="44"/>
    <m/>
    <x v="2"/>
    <x v="1"/>
  </r>
  <r>
    <s v="1801/15 GEORGE STREET BURWOOD NSW 2134"/>
    <x v="0"/>
    <x v="6"/>
    <s v="3"/>
    <s v="2"/>
    <s v="2"/>
    <n v="2200000"/>
    <x v="9"/>
    <m/>
    <x v="2"/>
    <x v="1"/>
  </r>
  <r>
    <s v="32/1A GLOUCESTER AVENUE BURWOOD NSW 2134"/>
    <x v="0"/>
    <x v="6"/>
    <s v="3"/>
    <s v="2"/>
    <s v="2"/>
    <n v="1335000"/>
    <x v="9"/>
    <m/>
    <x v="2"/>
    <x v="1"/>
  </r>
  <r>
    <s v="2D/88 BURWOOD ROAD BURWOOD NSW 2134"/>
    <x v="0"/>
    <x v="5"/>
    <s v="2"/>
    <s v="2"/>
    <s v="N/A"/>
    <n v="1230000"/>
    <x v="11"/>
    <m/>
    <x v="2"/>
    <x v="1"/>
  </r>
  <r>
    <s v="3/4 BELMORE STREET BURWOOD NSW 2134"/>
    <x v="0"/>
    <x v="43"/>
    <s v="2"/>
    <s v="1"/>
    <s v="N/A"/>
    <n v="650000"/>
    <x v="12"/>
    <m/>
    <x v="2"/>
    <x v="3"/>
  </r>
  <r>
    <s v="217 BURWOOD ROAD BURWOOD NSW 2134"/>
    <x v="1"/>
    <x v="45"/>
    <s v="6"/>
    <s v="5"/>
    <s v="2"/>
    <n v="5300000"/>
    <x v="15"/>
    <m/>
    <x v="2"/>
    <x v="1"/>
  </r>
  <r>
    <s v="11 QUANDONG AVENUE BURWOOD NSW 2134"/>
    <x v="1"/>
    <x v="15"/>
    <s v="3"/>
    <s v="3"/>
    <s v="N/A"/>
    <n v="2200000"/>
    <x v="45"/>
    <m/>
    <x v="2"/>
    <x v="1"/>
  </r>
  <r>
    <s v="36/12-16 BELMORE STREET BURWOOD NSW 2134"/>
    <x v="0"/>
    <x v="6"/>
    <s v="2"/>
    <s v="1"/>
    <s v="1"/>
    <n v="718000"/>
    <x v="16"/>
    <m/>
    <x v="2"/>
    <x v="4"/>
  </r>
  <r>
    <s v="3 WYATT AVENUE BURWOOD NSW 2134"/>
    <x v="1"/>
    <x v="43"/>
    <s v="4"/>
    <s v="2"/>
    <s v="2"/>
    <n v="2680000"/>
    <x v="16"/>
    <m/>
    <x v="2"/>
    <x v="1"/>
  </r>
  <r>
    <s v="4/4 PARK ROAD BURWOOD NSW 2134"/>
    <x v="0"/>
    <x v="23"/>
    <s v="2"/>
    <s v="1"/>
    <s v="N/A"/>
    <n v="670000"/>
    <x v="46"/>
    <m/>
    <x v="2"/>
    <x v="3"/>
  </r>
  <r>
    <s v="3/55-57 PARK ROAD BURWOOD NSW 2134"/>
    <x v="1"/>
    <x v="48"/>
    <s v="3"/>
    <s v="2"/>
    <s v="2"/>
    <n v="2636000"/>
    <x v="18"/>
    <m/>
    <x v="2"/>
    <x v="1"/>
  </r>
  <r>
    <s v="12/21 GEORGE STREET BURWOOD NSW 2134"/>
    <x v="0"/>
    <x v="49"/>
    <s v="2"/>
    <s v="2"/>
    <s v="1"/>
    <n v="700000"/>
    <x v="47"/>
    <m/>
    <x v="2"/>
    <x v="3"/>
  </r>
  <r>
    <s v="13/21 GEORGE STREET BURWOOD NSW 2134"/>
    <x v="0"/>
    <x v="49"/>
    <s v="2"/>
    <s v="2"/>
    <s v="1"/>
    <n v="1250000"/>
    <x v="47"/>
    <m/>
    <x v="2"/>
    <x v="1"/>
  </r>
  <r>
    <s v="11A ROWLEY STREET BURWOOD NSW 2134"/>
    <x v="1"/>
    <x v="15"/>
    <s v="3"/>
    <s v="2"/>
    <s v="N/A"/>
    <n v="1723000"/>
    <x v="47"/>
    <m/>
    <x v="2"/>
    <x v="1"/>
  </r>
  <r>
    <s v="24/10 GLADSTONE STREET BURWOOD NSW 2134"/>
    <x v="0"/>
    <x v="6"/>
    <s v="2"/>
    <s v="2"/>
    <s v="1"/>
    <n v="820000"/>
    <x v="48"/>
    <m/>
    <x v="2"/>
    <x v="7"/>
  </r>
  <r>
    <s v="309/1 RAILWAY PARADE BURWOOD NSW 2134"/>
    <x v="0"/>
    <x v="6"/>
    <s v="3"/>
    <s v="2"/>
    <s v="1"/>
    <n v="933800"/>
    <x v="48"/>
    <m/>
    <x v="2"/>
    <x v="8"/>
  </r>
  <r>
    <s v="2C/88 BURWOOD ROAD BURWOOD NSW 2134"/>
    <x v="0"/>
    <x v="5"/>
    <s v="2"/>
    <s v="2"/>
    <s v="N/A"/>
    <n v="1200000"/>
    <x v="19"/>
    <m/>
    <x v="2"/>
    <x v="1"/>
  </r>
  <r>
    <s v="503C/8 WYNNE AVENUE BURWOOD NSW 2134"/>
    <x v="0"/>
    <x v="6"/>
    <s v="2"/>
    <s v="2"/>
    <s v="1"/>
    <n v="965000"/>
    <x v="19"/>
    <m/>
    <x v="2"/>
    <x v="8"/>
  </r>
  <r>
    <s v="203/9 CARILLA STREET BURWOOD NSW 2134"/>
    <x v="0"/>
    <x v="6"/>
    <s v="2"/>
    <s v="2"/>
    <s v="1"/>
    <n v="930000"/>
    <x v="20"/>
    <m/>
    <x v="2"/>
    <x v="8"/>
  </r>
  <r>
    <s v="2/234 WENTWORTH ROAD BURWOOD NSW 2134"/>
    <x v="0"/>
    <x v="15"/>
    <s v="3"/>
    <s v="1"/>
    <s v="N/A"/>
    <n v="690000"/>
    <x v="20"/>
    <m/>
    <x v="2"/>
    <x v="3"/>
  </r>
  <r>
    <s v="610/7 CONDER STREET BURWOOD NSW 2134"/>
    <x v="0"/>
    <x v="6"/>
    <s v="1"/>
    <s v="1"/>
    <s v="1"/>
    <n v="705000"/>
    <x v="23"/>
    <m/>
    <x v="2"/>
    <x v="4"/>
  </r>
  <r>
    <s v="2/199 LIVERPOOL ROAD BURWOOD NSW 2134"/>
    <x v="0"/>
    <x v="6"/>
    <s v="2"/>
    <s v="1"/>
    <s v="1"/>
    <n v="580000"/>
    <x v="23"/>
    <m/>
    <x v="2"/>
    <x v="0"/>
  </r>
  <r>
    <s v="24 MT PLEASANT AVENUE BURWOOD NSW 2134"/>
    <x v="1"/>
    <x v="15"/>
    <s v="5"/>
    <s v="3"/>
    <s v="1"/>
    <n v="2050000"/>
    <x v="23"/>
    <m/>
    <x v="2"/>
    <x v="1"/>
  </r>
  <r>
    <s v="903/43 BELMORE STREET BURWOOD NSW 2134"/>
    <x v="0"/>
    <x v="6"/>
    <s v="2"/>
    <s v="2"/>
    <s v="N/A"/>
    <n v="1049000"/>
    <x v="24"/>
    <m/>
    <x v="2"/>
    <x v="1"/>
  </r>
  <r>
    <s v="2078/67 SHAFTESBURY ROAD BURWOOD NSW 2134"/>
    <x v="0"/>
    <x v="50"/>
    <s v="2"/>
    <s v="2"/>
    <s v="N/A"/>
    <n v="920000"/>
    <x v="24"/>
    <m/>
    <x v="2"/>
    <x v="8"/>
  </r>
  <r>
    <s v="8 APPIAN WAY BURWOOD NSW 2134"/>
    <x v="1"/>
    <x v="51"/>
    <s v="5"/>
    <s v="2"/>
    <s v="2"/>
    <n v="5200000"/>
    <x v="25"/>
    <m/>
    <x v="2"/>
    <x v="1"/>
  </r>
  <r>
    <s v="11/316 PARRAMATTA ROAD BURWOOD NSW 2134"/>
    <x v="0"/>
    <x v="52"/>
    <s v="1"/>
    <s v="1"/>
    <s v="1"/>
    <n v="590000"/>
    <x v="26"/>
    <m/>
    <x v="2"/>
    <x v="0"/>
  </r>
  <r>
    <s v="6/199 LIVERPOOL ROAD BURWOOD NSW 2134"/>
    <x v="0"/>
    <x v="53"/>
    <s v="2"/>
    <s v="1"/>
    <s v="N/A"/>
    <n v="600000"/>
    <x v="49"/>
    <m/>
    <x v="2"/>
    <x v="0"/>
  </r>
  <r>
    <s v="16/199 LIVERPOOL ROAD BURWOOD NSW 2134"/>
    <x v="0"/>
    <x v="47"/>
    <s v="2"/>
    <s v="1"/>
    <s v="N/A"/>
    <n v="618000"/>
    <x v="50"/>
    <m/>
    <x v="2"/>
    <x v="3"/>
  </r>
  <r>
    <s v="1/37 ANGELO STREET BURWOOD NSW 2134"/>
    <x v="0"/>
    <x v="43"/>
    <s v="2"/>
    <s v="2"/>
    <s v="2"/>
    <n v="791000"/>
    <x v="27"/>
    <m/>
    <x v="2"/>
    <x v="4"/>
  </r>
  <r>
    <s v="6038/1-3 BELMORE STREET BURWOOD NSW 2134"/>
    <x v="0"/>
    <x v="54"/>
    <s v="2"/>
    <s v="2"/>
    <s v="N/A"/>
    <n v="1050000"/>
    <x v="27"/>
    <m/>
    <x v="2"/>
    <x v="1"/>
  </r>
  <r>
    <s v="402/6 RAILWAY PARADE BURWOOD NSW 2134"/>
    <x v="0"/>
    <x v="6"/>
    <s v="1"/>
    <s v="1"/>
    <s v="1"/>
    <n v="700000"/>
    <x v="28"/>
    <m/>
    <x v="2"/>
    <x v="3"/>
  </r>
  <r>
    <s v="2301/7-9 BURLEIGH STREET BURWOOD NSW 2134"/>
    <x v="0"/>
    <x v="47"/>
    <s v="4"/>
    <s v="3"/>
    <s v="N/A"/>
    <n v="3210000"/>
    <x v="51"/>
    <m/>
    <x v="2"/>
    <x v="1"/>
  </r>
  <r>
    <s v="83/3 RAILWAY PARADE BURWOOD NSW 2134"/>
    <x v="0"/>
    <x v="6"/>
    <s v="3"/>
    <s v="2"/>
    <s v="2"/>
    <n v="1060000"/>
    <x v="51"/>
    <m/>
    <x v="2"/>
    <x v="1"/>
  </r>
  <r>
    <s v="3028/67 SHAFTESBURY ROAD BURWOOD NSW 2134"/>
    <x v="0"/>
    <x v="55"/>
    <s v="2"/>
    <s v="2"/>
    <s v="N/A"/>
    <n v="823000"/>
    <x v="51"/>
    <m/>
    <x v="2"/>
    <x v="7"/>
  </r>
  <r>
    <s v="4/10 GLADSTONE STREET BURWOOD NSW 2134"/>
    <x v="0"/>
    <x v="56"/>
    <s v="2"/>
    <s v="2"/>
    <s v="1"/>
    <n v="820000"/>
    <x v="52"/>
    <m/>
    <x v="2"/>
    <x v="7"/>
  </r>
  <r>
    <s v="310/65 SHAFTESBURY ROAD BURWOOD NSW 2134"/>
    <x v="0"/>
    <x v="43"/>
    <s v="2"/>
    <s v="2"/>
    <s v="1"/>
    <n v="780000"/>
    <x v="53"/>
    <m/>
    <x v="2"/>
    <x v="4"/>
  </r>
  <r>
    <s v="1/21 GEORGE STREET BURWOOD NSW 2134"/>
    <x v="0"/>
    <x v="49"/>
    <s v="2"/>
    <s v="2"/>
    <s v="1"/>
    <n v="1250000"/>
    <x v="32"/>
    <m/>
    <x v="2"/>
    <x v="1"/>
  </r>
  <r>
    <s v="3/21 GEORGE STREET BURWOOD NSW 2134"/>
    <x v="0"/>
    <x v="57"/>
    <s v="2"/>
    <s v="2"/>
    <s v="1"/>
    <n v="1450000"/>
    <x v="32"/>
    <m/>
    <x v="2"/>
    <x v="1"/>
  </r>
  <r>
    <s v="6/21 GEORGE STREET BURWOOD NSW 2134"/>
    <x v="0"/>
    <x v="49"/>
    <s v="2"/>
    <s v="2"/>
    <s v="1"/>
    <n v="1250000"/>
    <x v="32"/>
    <m/>
    <x v="2"/>
    <x v="1"/>
  </r>
  <r>
    <s v="7/21 GEORGE STREET BURWOOD NSW 2134"/>
    <x v="0"/>
    <x v="49"/>
    <s v="2"/>
    <s v="2"/>
    <s v="1"/>
    <n v="1250000"/>
    <x v="32"/>
    <m/>
    <x v="2"/>
    <x v="1"/>
  </r>
  <r>
    <s v="9/21 GEORGE STREET BURWOOD NSW 2134"/>
    <x v="0"/>
    <x v="49"/>
    <s v="2"/>
    <s v="2"/>
    <s v="1"/>
    <n v="1250000"/>
    <x v="32"/>
    <m/>
    <x v="2"/>
    <x v="1"/>
  </r>
  <r>
    <s v="10/21 GEORGE STREET BURWOOD NSW 2134"/>
    <x v="0"/>
    <x v="57"/>
    <s v="2"/>
    <s v="1"/>
    <s v="1"/>
    <n v="1450000"/>
    <x v="32"/>
    <m/>
    <x v="2"/>
    <x v="1"/>
  </r>
  <r>
    <s v="11/21 GEORGE STREET BURWOOD NSW 2134"/>
    <x v="0"/>
    <x v="57"/>
    <s v="2"/>
    <s v="1"/>
    <s v="1"/>
    <n v="1450000"/>
    <x v="32"/>
    <m/>
    <x v="2"/>
    <x v="1"/>
  </r>
  <r>
    <s v="14/21 GEORGE STREET BURWOOD NSW 2134"/>
    <x v="0"/>
    <x v="57"/>
    <s v="2"/>
    <s v="1"/>
    <s v="1"/>
    <n v="1450000"/>
    <x v="32"/>
    <m/>
    <x v="2"/>
    <x v="1"/>
  </r>
  <r>
    <s v="15/21 GEORGE STREET BURWOOD NSW 2134"/>
    <x v="0"/>
    <x v="57"/>
    <s v="2"/>
    <s v="1"/>
    <s v="1"/>
    <n v="1450000"/>
    <x v="32"/>
    <m/>
    <x v="2"/>
    <x v="1"/>
  </r>
  <r>
    <s v="16/21 GEORGE STREET BURWOOD NSW 2134"/>
    <x v="0"/>
    <x v="57"/>
    <s v="2"/>
    <s v="1"/>
    <s v="N/A"/>
    <n v="1450000"/>
    <x v="32"/>
    <m/>
    <x v="2"/>
    <x v="1"/>
  </r>
  <r>
    <s v="6/30-32 PARK AVENUE BURWOOD NSW 2134"/>
    <x v="0"/>
    <x v="6"/>
    <s v="2"/>
    <s v="1"/>
    <s v="1"/>
    <n v="850000"/>
    <x v="32"/>
    <m/>
    <x v="2"/>
    <x v="7"/>
  </r>
  <r>
    <s v="10/34-38 PARK AVENUE BURWOOD NSW 2134"/>
    <x v="0"/>
    <x v="6"/>
    <s v="2"/>
    <s v="1"/>
    <s v="2"/>
    <n v="1040000"/>
    <x v="32"/>
    <m/>
    <x v="2"/>
    <x v="1"/>
  </r>
  <r>
    <s v="1305/39 BELMORE STREET BURWOOD NSW 2134"/>
    <x v="0"/>
    <x v="6"/>
    <s v="2"/>
    <s v="1"/>
    <s v="N/A"/>
    <n v="1180000"/>
    <x v="33"/>
    <m/>
    <x v="2"/>
    <x v="1"/>
  </r>
  <r>
    <s v="202/15-19 CLARENCE STREET BURWOOD NSW 2134"/>
    <x v="0"/>
    <x v="6"/>
    <s v="2"/>
    <s v="2"/>
    <s v="N/A"/>
    <n v="1250000"/>
    <x v="33"/>
    <m/>
    <x v="2"/>
    <x v="1"/>
  </r>
  <r>
    <s v="903A/68-72 RAILWAY PARADE BURWOOD NSW 2134"/>
    <x v="0"/>
    <x v="47"/>
    <s v="N/A"/>
    <s v="N/A"/>
    <s v="N/A"/>
    <n v="1300000"/>
    <x v="33"/>
    <m/>
    <x v="2"/>
    <x v="1"/>
  </r>
  <r>
    <s v="502/3 WILGA STREET BURWOOD NSW 2134"/>
    <x v="0"/>
    <x v="6"/>
    <s v="1"/>
    <s v="1"/>
    <s v="1"/>
    <n v="720000"/>
    <x v="33"/>
    <m/>
    <x v="2"/>
    <x v="4"/>
  </r>
  <r>
    <s v="106/39 BELMORE STREET BURWOOD NSW 2134"/>
    <x v="0"/>
    <x v="6"/>
    <s v="2"/>
    <s v="2"/>
    <s v="N/A"/>
    <n v="970000"/>
    <x v="34"/>
    <m/>
    <x v="2"/>
    <x v="8"/>
  </r>
  <r>
    <s v="9 OXFORD STREET BURWOOD NSW 2134"/>
    <x v="1"/>
    <x v="6"/>
    <s v="4"/>
    <s v="3"/>
    <s v="2"/>
    <n v="1750000"/>
    <x v="35"/>
    <m/>
    <x v="2"/>
    <x v="1"/>
  </r>
  <r>
    <s v="11 OXFORD STREET BURWOOD NSW 2134"/>
    <x v="1"/>
    <x v="6"/>
    <s v="3"/>
    <s v="1"/>
    <s v="N/A"/>
    <n v="1050000"/>
    <x v="35"/>
    <m/>
    <x v="2"/>
    <x v="1"/>
  </r>
  <r>
    <s v="11/4 RAILWAY PARADE BURWOOD NSW 2134"/>
    <x v="0"/>
    <x v="6"/>
    <s v="N/A"/>
    <s v="N/A"/>
    <s v="N/A"/>
    <n v="1925000"/>
    <x v="35"/>
    <m/>
    <x v="2"/>
    <x v="1"/>
  </r>
  <r>
    <s v="5/18 RAILWAY PARADE BURWOOD NSW 2134"/>
    <x v="0"/>
    <x v="6"/>
    <s v="2"/>
    <s v="1"/>
    <s v="N/A"/>
    <n v="1400000"/>
    <x v="35"/>
    <m/>
    <x v="2"/>
    <x v="1"/>
  </r>
  <r>
    <s v="100 WENTWORTH ROAD BURWOOD NSW 2134"/>
    <x v="1"/>
    <x v="6"/>
    <s v="3"/>
    <s v="2"/>
    <s v="2"/>
    <n v="1750000"/>
    <x v="35"/>
    <m/>
    <x v="2"/>
    <x v="1"/>
  </r>
  <r>
    <s v="37/16-22 BURWOOD ROAD BURWOOD NSW 2134"/>
    <x v="0"/>
    <x v="58"/>
    <s v="1"/>
    <s v="1"/>
    <s v="N/A"/>
    <n v="600000"/>
    <x v="36"/>
    <m/>
    <x v="2"/>
    <x v="0"/>
  </r>
  <r>
    <s v="50 BURWOOD ROAD BURWOOD NSW 2134"/>
    <x v="0"/>
    <x v="6"/>
    <s v="2"/>
    <s v="1"/>
    <s v="1"/>
    <n v="3000000"/>
    <x v="36"/>
    <m/>
    <x v="2"/>
    <x v="1"/>
  </r>
  <r>
    <s v="30 WELDON STREET BURWOOD NSW 2134"/>
    <x v="1"/>
    <x v="15"/>
    <s v="4"/>
    <s v="2"/>
    <s v="1"/>
    <n v="2600000"/>
    <x v="36"/>
    <m/>
    <x v="2"/>
    <x v="1"/>
  </r>
  <r>
    <s v="3/54-56 WENTWORTH ROAD BURWOOD NSW 2134"/>
    <x v="0"/>
    <x v="59"/>
    <s v="2"/>
    <s v="1"/>
    <s v="1"/>
    <n v="772000"/>
    <x v="36"/>
    <m/>
    <x v="2"/>
    <x v="4"/>
  </r>
  <r>
    <s v="1005/29 BELMORE STREET BURWOOD NSW 2134"/>
    <x v="0"/>
    <x v="6"/>
    <s v="2"/>
    <s v="2"/>
    <s v="1"/>
    <n v="998000"/>
    <x v="37"/>
    <m/>
    <x v="2"/>
    <x v="8"/>
  </r>
  <r>
    <s v="18 BOLD STREET BURWOOD NSW 2134"/>
    <x v="1"/>
    <x v="53"/>
    <s v="4"/>
    <s v="2"/>
    <s v="N/A"/>
    <n v="3470000"/>
    <x v="37"/>
    <m/>
    <x v="2"/>
    <x v="1"/>
  </r>
  <r>
    <s v="20A CONDER STREET BURWOOD NSW 2134"/>
    <x v="1"/>
    <x v="53"/>
    <s v="4"/>
    <s v="2"/>
    <s v="2"/>
    <n v="4300000"/>
    <x v="37"/>
    <m/>
    <x v="2"/>
    <x v="1"/>
  </r>
  <r>
    <s v="4/38 BELMORE STREET BURWOOD NSW 2134"/>
    <x v="0"/>
    <x v="60"/>
    <s v="2"/>
    <s v="2"/>
    <s v="N/A"/>
    <n v="780000"/>
    <x v="38"/>
    <m/>
    <x v="2"/>
    <x v="4"/>
  </r>
  <r>
    <s v="202/2A ELSIE STREET BURWOOD NSW 2134"/>
    <x v="0"/>
    <x v="6"/>
    <s v="2"/>
    <s v="2"/>
    <s v="1"/>
    <n v="950000"/>
    <x v="38"/>
    <m/>
    <x v="2"/>
    <x v="8"/>
  </r>
  <r>
    <s v="1010/39 BELMORE STREET BURWOOD NSW 2134"/>
    <x v="0"/>
    <x v="6"/>
    <s v="2"/>
    <s v="2"/>
    <s v="1"/>
    <n v="1000000"/>
    <x v="40"/>
    <m/>
    <x v="2"/>
    <x v="8"/>
  </r>
  <r>
    <s v="508/7 CONDER STREET BURWOOD NSW 2134"/>
    <x v="0"/>
    <x v="6"/>
    <s v="2"/>
    <s v="2"/>
    <s v="1"/>
    <n v="980000"/>
    <x v="40"/>
    <m/>
    <x v="2"/>
    <x v="8"/>
  </r>
  <r>
    <s v="17 PARK ROAD BURWOOD NSW 2134"/>
    <x v="1"/>
    <x v="61"/>
    <s v="3"/>
    <s v="1"/>
    <s v="1"/>
    <n v="1860000"/>
    <x v="41"/>
    <m/>
    <x v="2"/>
    <x v="1"/>
  </r>
  <r>
    <s v="206/3 WILGA STREET BURWOOD NSW 2134"/>
    <x v="0"/>
    <x v="62"/>
    <s v="2"/>
    <s v="2"/>
    <s v="1"/>
    <n v="885000"/>
    <x v="41"/>
    <m/>
    <x v="2"/>
    <x v="7"/>
  </r>
  <r>
    <s v="503/15 GEORGE STREET BURWOOD NSW 2134"/>
    <x v="0"/>
    <x v="6"/>
    <s v="N/A"/>
    <s v="N/A"/>
    <s v="N/A"/>
    <n v="720000"/>
    <x v="42"/>
    <m/>
    <x v="2"/>
    <x v="4"/>
  </r>
  <r>
    <s v="74A LUCAS ROAD BURWOOD NSW 2134"/>
    <x v="1"/>
    <x v="5"/>
    <s v="2"/>
    <s v="1"/>
    <s v="N/A"/>
    <n v="1586000"/>
    <x v="42"/>
    <m/>
    <x v="2"/>
    <x v="1"/>
  </r>
  <r>
    <s v="24A MT PLEASANT AVENUE BURWOOD NSW 2134"/>
    <x v="1"/>
    <x v="43"/>
    <s v="4"/>
    <s v="3"/>
    <s v="4"/>
    <n v="3265000"/>
    <x v="42"/>
    <m/>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BC5D59-C4ED-4490-9F3D-C6DE0503C27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chartFormat="5">
  <location ref="A28:B34" firstHeaderRow="1" firstDataRow="1" firstDataCol="1"/>
  <pivotFields count="14">
    <pivotField dataField="1" showAll="0"/>
    <pivotField showAll="0" measureFilter="1"/>
    <pivotField showAll="0" measureFilter="1"/>
    <pivotField showAll="0"/>
    <pivotField showAll="0"/>
    <pivotField showAll="0"/>
    <pivotField showAll="0"/>
    <pivotField numFmtId="14" showAll="0">
      <items count="55">
        <item x="42"/>
        <item x="41"/>
        <item x="40"/>
        <item x="39"/>
        <item x="38"/>
        <item x="37"/>
        <item x="36"/>
        <item x="35"/>
        <item x="34"/>
        <item x="33"/>
        <item x="32"/>
        <item x="53"/>
        <item x="52"/>
        <item x="31"/>
        <item x="30"/>
        <item x="29"/>
        <item x="51"/>
        <item x="28"/>
        <item x="27"/>
        <item x="50"/>
        <item x="49"/>
        <item x="26"/>
        <item x="25"/>
        <item x="24"/>
        <item x="23"/>
        <item x="22"/>
        <item x="21"/>
        <item x="20"/>
        <item x="19"/>
        <item x="48"/>
        <item x="47"/>
        <item x="18"/>
        <item x="17"/>
        <item x="46"/>
        <item x="16"/>
        <item x="45"/>
        <item x="15"/>
        <item x="14"/>
        <item x="13"/>
        <item x="12"/>
        <item x="11"/>
        <item x="10"/>
        <item x="9"/>
        <item x="44"/>
        <item x="8"/>
        <item x="43"/>
        <item x="7"/>
        <item x="6"/>
        <item x="5"/>
        <item x="4"/>
        <item x="3"/>
        <item x="2"/>
        <item x="1"/>
        <item x="0"/>
        <item t="default"/>
      </items>
    </pivotField>
    <pivotField showAll="0"/>
    <pivotField showAll="0">
      <items count="4">
        <item h="1" x="0"/>
        <item x="1"/>
        <item h="1" x="2"/>
        <item t="default"/>
      </items>
    </pivotField>
    <pivotField showAll="0">
      <items count="10">
        <item x="6"/>
        <item x="1"/>
        <item x="5"/>
        <item x="2"/>
        <item x="0"/>
        <item x="3"/>
        <item x="4"/>
        <item x="7"/>
        <item x="8"/>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13"/>
    <field x="11"/>
  </rowFields>
  <rowItems count="6">
    <i>
      <x v="1"/>
    </i>
    <i r="1">
      <x v="12"/>
    </i>
    <i>
      <x v="2"/>
    </i>
    <i r="1">
      <x v="1"/>
    </i>
    <i r="1">
      <x v="2"/>
    </i>
    <i t="grand">
      <x/>
    </i>
  </rowItems>
  <colItems count="1">
    <i/>
  </colItems>
  <dataFields count="1">
    <dataField name="Properties sold" fld="0" subtotal="count" baseField="2" baseItem="3"/>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2" type="captionNotEqual" evalOrder="-1" id="5" stringValue1="N/A">
      <autoFilter ref="A1">
        <filterColumn colId="0">
          <customFilters>
            <customFilter operator="notEqual" val="N/A"/>
          </customFilters>
        </filterColumn>
      </autoFilter>
    </filter>
    <filter fld="1" type="count" evalOrder="-1" id="3" iMeasureFld="0">
      <autoFilter ref="A1">
        <filterColumn colId="0">
          <top10 val="5" filterVal="5"/>
        </filterColumn>
      </autoFilter>
    </filter>
    <filter fld="2"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144265-81F5-4A5C-9C2C-E992890DC02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location ref="A9:C15" firstHeaderRow="0" firstDataRow="1" firstDataCol="1"/>
  <pivotFields count="14">
    <pivotField dataField="1" showAll="0"/>
    <pivotField showAll="0" measureFilter="1"/>
    <pivotField axis="axisRow" showAll="0" measureFilter="1">
      <items count="64">
        <item x="38"/>
        <item x="44"/>
        <item x="58"/>
        <item x="15"/>
        <item x="60"/>
        <item x="39"/>
        <item x="61"/>
        <item x="13"/>
        <item x="30"/>
        <item x="17"/>
        <item x="16"/>
        <item x="9"/>
        <item x="12"/>
        <item x="10"/>
        <item x="35"/>
        <item x="3"/>
        <item x="21"/>
        <item x="55"/>
        <item x="49"/>
        <item x="56"/>
        <item x="28"/>
        <item x="1"/>
        <item x="29"/>
        <item x="23"/>
        <item x="43"/>
        <item x="34"/>
        <item x="20"/>
        <item x="54"/>
        <item x="22"/>
        <item x="42"/>
        <item x="47"/>
        <item x="31"/>
        <item x="14"/>
        <item x="27"/>
        <item x="50"/>
        <item x="6"/>
        <item x="8"/>
        <item x="25"/>
        <item x="59"/>
        <item x="46"/>
        <item x="37"/>
        <item x="4"/>
        <item x="53"/>
        <item x="33"/>
        <item x="26"/>
        <item x="36"/>
        <item x="62"/>
        <item x="52"/>
        <item x="32"/>
        <item x="45"/>
        <item x="51"/>
        <item x="7"/>
        <item x="41"/>
        <item x="19"/>
        <item x="2"/>
        <item x="18"/>
        <item x="40"/>
        <item x="11"/>
        <item x="5"/>
        <item x="0"/>
        <item x="48"/>
        <item x="24"/>
        <item x="57"/>
        <item t="default"/>
      </items>
    </pivotField>
    <pivotField showAll="0"/>
    <pivotField showAll="0"/>
    <pivotField showAll="0"/>
    <pivotField dataField="1" showAll="0"/>
    <pivotField numFmtId="14" showAll="0">
      <items count="55">
        <item x="42"/>
        <item x="41"/>
        <item x="40"/>
        <item x="39"/>
        <item x="38"/>
        <item x="37"/>
        <item x="36"/>
        <item x="35"/>
        <item x="34"/>
        <item x="33"/>
        <item x="32"/>
        <item x="53"/>
        <item x="52"/>
        <item x="31"/>
        <item x="30"/>
        <item x="29"/>
        <item x="51"/>
        <item x="28"/>
        <item x="27"/>
        <item x="50"/>
        <item x="49"/>
        <item x="26"/>
        <item x="25"/>
        <item x="24"/>
        <item x="23"/>
        <item x="22"/>
        <item x="21"/>
        <item x="20"/>
        <item x="19"/>
        <item x="48"/>
        <item x="47"/>
        <item x="18"/>
        <item x="17"/>
        <item x="46"/>
        <item x="16"/>
        <item x="45"/>
        <item x="15"/>
        <item x="14"/>
        <item x="13"/>
        <item x="12"/>
        <item x="11"/>
        <item x="10"/>
        <item x="9"/>
        <item x="44"/>
        <item x="8"/>
        <item x="43"/>
        <item x="7"/>
        <item x="6"/>
        <item x="5"/>
        <item x="4"/>
        <item x="3"/>
        <item x="2"/>
        <item x="1"/>
        <item x="0"/>
        <item t="default"/>
      </items>
    </pivotField>
    <pivotField showAll="0"/>
    <pivotField showAll="0">
      <items count="4">
        <item h="1" x="0"/>
        <item x="1"/>
        <item h="1"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v="3"/>
    </i>
    <i>
      <x v="18"/>
    </i>
    <i>
      <x v="24"/>
    </i>
    <i>
      <x v="30"/>
    </i>
    <i>
      <x v="62"/>
    </i>
    <i t="grand">
      <x/>
    </i>
  </rowItems>
  <colFields count="1">
    <field x="-2"/>
  </colFields>
  <colItems count="2">
    <i>
      <x/>
    </i>
    <i i="1">
      <x v="1"/>
    </i>
  </colItems>
  <dataFields count="2">
    <dataField name="Count of Address" fld="0" subtotal="count" baseField="2" baseItem="3"/>
    <dataField name="Average of Sale Price" fld="6" subtotal="average" baseField="2" baseItem="3"/>
  </dataFields>
  <pivotTableStyleInfo name="PivotStyleLight16" showRowHeaders="1" showColHeaders="1" showRowStripes="0" showColStripes="0" showLastColumn="1"/>
  <filters count="3">
    <filter fld="2" type="captionNotEqual" evalOrder="-1" id="5" stringValue1="N/A">
      <autoFilter ref="A1">
        <filterColumn colId="0">
          <customFilters>
            <customFilter operator="notEqual" val="N/A"/>
          </customFilters>
        </filterColumn>
      </autoFilter>
    </filter>
    <filter fld="1" type="count" evalOrder="-1" id="3" iMeasureFld="0">
      <autoFilter ref="A1">
        <filterColumn colId="0">
          <top10 val="5" filterVal="5"/>
        </filterColumn>
      </autoFilter>
    </filter>
    <filter fld="2"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6D1024-F108-4966-AA63-F3199927117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location ref="A18:C25" firstHeaderRow="0" firstDataRow="1" firstDataCol="1"/>
  <pivotFields count="14">
    <pivotField dataField="1" showAll="0"/>
    <pivotField showAll="0" measureFilter="1"/>
    <pivotField showAll="0" measureFilter="1"/>
    <pivotField showAll="0"/>
    <pivotField showAll="0"/>
    <pivotField showAll="0"/>
    <pivotField dataField="1" showAll="0"/>
    <pivotField numFmtId="14" showAll="0">
      <items count="55">
        <item x="42"/>
        <item x="41"/>
        <item x="40"/>
        <item x="39"/>
        <item x="38"/>
        <item x="37"/>
        <item x="36"/>
        <item x="35"/>
        <item x="34"/>
        <item x="33"/>
        <item x="32"/>
        <item x="53"/>
        <item x="52"/>
        <item x="31"/>
        <item x="30"/>
        <item x="29"/>
        <item x="51"/>
        <item x="28"/>
        <item x="27"/>
        <item x="50"/>
        <item x="49"/>
        <item x="26"/>
        <item x="25"/>
        <item x="24"/>
        <item x="23"/>
        <item x="22"/>
        <item x="21"/>
        <item x="20"/>
        <item x="19"/>
        <item x="48"/>
        <item x="47"/>
        <item x="18"/>
        <item x="17"/>
        <item x="46"/>
        <item x="16"/>
        <item x="45"/>
        <item x="15"/>
        <item x="14"/>
        <item x="13"/>
        <item x="12"/>
        <item x="11"/>
        <item x="10"/>
        <item x="9"/>
        <item x="44"/>
        <item x="8"/>
        <item x="43"/>
        <item x="7"/>
        <item x="6"/>
        <item x="5"/>
        <item x="4"/>
        <item x="3"/>
        <item x="2"/>
        <item x="1"/>
        <item x="0"/>
        <item t="default"/>
      </items>
    </pivotField>
    <pivotField showAll="0"/>
    <pivotField showAll="0">
      <items count="4">
        <item h="1" x="0"/>
        <item x="1"/>
        <item h="1" x="2"/>
        <item t="default"/>
      </items>
    </pivotField>
    <pivotField axis="axisRow" showAll="0">
      <items count="10">
        <item x="6"/>
        <item x="1"/>
        <item x="5"/>
        <item x="2"/>
        <item x="0"/>
        <item x="3"/>
        <item x="4"/>
        <item x="7"/>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7">
    <i>
      <x v="1"/>
    </i>
    <i>
      <x v="4"/>
    </i>
    <i>
      <x v="5"/>
    </i>
    <i>
      <x v="6"/>
    </i>
    <i>
      <x v="7"/>
    </i>
    <i>
      <x v="8"/>
    </i>
    <i t="grand">
      <x/>
    </i>
  </rowItems>
  <colFields count="1">
    <field x="-2"/>
  </colFields>
  <colItems count="2">
    <i>
      <x/>
    </i>
    <i i="1">
      <x v="1"/>
    </i>
  </colItems>
  <dataFields count="2">
    <dataField name="Count of Address" fld="0" subtotal="count" baseField="2" baseItem="3"/>
    <dataField name="Average of Sale Price" fld="6" subtotal="average" baseField="2" baseItem="3"/>
  </dataFields>
  <pivotTableStyleInfo name="PivotStyleLight16" showRowHeaders="1" showColHeaders="1" showRowStripes="0" showColStripes="0" showLastColumn="1"/>
  <filters count="3">
    <filter fld="2" type="captionNotEqual" evalOrder="-1" id="5" stringValue1="N/A">
      <autoFilter ref="A1">
        <filterColumn colId="0">
          <customFilters>
            <customFilter operator="notEqual" val="N/A"/>
          </customFilters>
        </filterColumn>
      </autoFilter>
    </filter>
    <filter fld="1" type="count" evalOrder="-1" id="3" iMeasureFld="0">
      <autoFilter ref="A1">
        <filterColumn colId="0">
          <top10 val="5" filterVal="5"/>
        </filterColumn>
      </autoFilter>
    </filter>
    <filter fld="2"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E20FF4-0960-4CD3-AB15-7F53CF11835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4">
    <pivotField dataField="1" showAll="0"/>
    <pivotField axis="axisRow" showAll="0">
      <items count="3">
        <item x="1"/>
        <item x="0"/>
        <item t="default"/>
      </items>
    </pivotField>
    <pivotField showAll="0"/>
    <pivotField showAll="0"/>
    <pivotField showAll="0"/>
    <pivotField showAll="0"/>
    <pivotField showAll="0"/>
    <pivotField numFmtId="14" showAll="0">
      <items count="55">
        <item x="42"/>
        <item x="41"/>
        <item x="40"/>
        <item x="39"/>
        <item x="38"/>
        <item x="37"/>
        <item x="36"/>
        <item x="35"/>
        <item x="34"/>
        <item x="33"/>
        <item x="32"/>
        <item x="53"/>
        <item x="52"/>
        <item x="31"/>
        <item x="30"/>
        <item x="29"/>
        <item x="51"/>
        <item x="28"/>
        <item x="27"/>
        <item x="50"/>
        <item x="49"/>
        <item x="26"/>
        <item x="25"/>
        <item x="24"/>
        <item x="23"/>
        <item x="22"/>
        <item x="21"/>
        <item x="20"/>
        <item x="19"/>
        <item x="48"/>
        <item x="47"/>
        <item x="18"/>
        <item x="17"/>
        <item x="46"/>
        <item x="16"/>
        <item x="45"/>
        <item x="15"/>
        <item x="14"/>
        <item x="13"/>
        <item x="12"/>
        <item x="11"/>
        <item x="10"/>
        <item x="9"/>
        <item x="44"/>
        <item x="8"/>
        <item x="43"/>
        <item x="7"/>
        <item x="6"/>
        <item x="5"/>
        <item x="4"/>
        <item x="3"/>
        <item x="2"/>
        <item x="1"/>
        <item x="0"/>
        <item t="default"/>
      </items>
    </pivotField>
    <pivotField showAll="0"/>
    <pivotField showAll="0">
      <items count="4">
        <item h="1" x="0"/>
        <item x="1"/>
        <item h="1"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3">
    <i>
      <x/>
    </i>
    <i>
      <x v="1"/>
    </i>
    <i t="grand">
      <x/>
    </i>
  </rowItems>
  <colItems count="1">
    <i/>
  </colItems>
  <dataFields count="1">
    <dataField name="Count of Addres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5C96AA-F3FB-4688-8445-84E6610C09E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rowHeaderCaption="Agency Name">
  <location ref="F11:H17" firstHeaderRow="0" firstDataRow="1" firstDataCol="1"/>
  <pivotFields count="14">
    <pivotField dataField="1" showAll="0"/>
    <pivotField showAll="0" measureFilter="1"/>
    <pivotField axis="axisRow" showAll="0" measureFilter="1" sortType="descending">
      <items count="64">
        <item x="57"/>
        <item x="24"/>
        <item x="48"/>
        <item x="0"/>
        <item x="5"/>
        <item x="11"/>
        <item x="40"/>
        <item x="18"/>
        <item x="2"/>
        <item x="19"/>
        <item x="41"/>
        <item x="7"/>
        <item x="51"/>
        <item x="45"/>
        <item x="32"/>
        <item x="52"/>
        <item x="62"/>
        <item x="36"/>
        <item x="26"/>
        <item x="33"/>
        <item x="53"/>
        <item x="4"/>
        <item x="37"/>
        <item x="46"/>
        <item x="59"/>
        <item x="25"/>
        <item x="8"/>
        <item x="6"/>
        <item x="50"/>
        <item x="27"/>
        <item x="14"/>
        <item x="31"/>
        <item x="47"/>
        <item x="42"/>
        <item x="22"/>
        <item x="54"/>
        <item x="20"/>
        <item x="34"/>
        <item x="43"/>
        <item x="23"/>
        <item x="29"/>
        <item x="1"/>
        <item x="28"/>
        <item x="56"/>
        <item x="49"/>
        <item x="55"/>
        <item x="21"/>
        <item x="3"/>
        <item x="35"/>
        <item x="10"/>
        <item x="12"/>
        <item x="9"/>
        <item x="16"/>
        <item x="17"/>
        <item x="30"/>
        <item x="13"/>
        <item x="61"/>
        <item x="39"/>
        <item x="60"/>
        <item x="15"/>
        <item x="58"/>
        <item x="44"/>
        <item x="38"/>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55">
        <item x="42"/>
        <item x="41"/>
        <item x="40"/>
        <item x="39"/>
        <item x="38"/>
        <item x="37"/>
        <item x="36"/>
        <item x="35"/>
        <item x="34"/>
        <item x="33"/>
        <item x="32"/>
        <item x="53"/>
        <item x="52"/>
        <item x="31"/>
        <item x="30"/>
        <item x="29"/>
        <item x="51"/>
        <item x="28"/>
        <item x="27"/>
        <item x="50"/>
        <item x="49"/>
        <item x="26"/>
        <item x="25"/>
        <item x="24"/>
        <item x="23"/>
        <item x="22"/>
        <item x="21"/>
        <item x="20"/>
        <item x="19"/>
        <item x="48"/>
        <item x="47"/>
        <item x="18"/>
        <item x="17"/>
        <item x="46"/>
        <item x="16"/>
        <item x="45"/>
        <item x="15"/>
        <item x="14"/>
        <item x="13"/>
        <item x="12"/>
        <item x="11"/>
        <item x="10"/>
        <item x="9"/>
        <item x="44"/>
        <item x="8"/>
        <item x="43"/>
        <item x="7"/>
        <item x="6"/>
        <item x="5"/>
        <item x="4"/>
        <item x="3"/>
        <item x="2"/>
        <item x="1"/>
        <item x="0"/>
        <item t="default"/>
      </items>
    </pivotField>
    <pivotField showAll="0"/>
    <pivotField showAll="0">
      <items count="4">
        <item h="1" x="0"/>
        <item x="1"/>
        <item h="1"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v="59"/>
    </i>
    <i>
      <x v="44"/>
    </i>
    <i>
      <x/>
    </i>
    <i>
      <x v="38"/>
    </i>
    <i>
      <x v="32"/>
    </i>
    <i t="grand">
      <x/>
    </i>
  </rowItems>
  <colFields count="1">
    <field x="-2"/>
  </colFields>
  <colItems count="2">
    <i>
      <x/>
    </i>
    <i i="1">
      <x v="1"/>
    </i>
  </colItems>
  <dataFields count="2">
    <dataField name="Property sold" fld="0" subtotal="count" baseField="0" baseItem="0"/>
    <dataField name="Average of Sale Price" fld="6" subtotal="average" baseField="2" baseItem="8"/>
  </dataFields>
  <formats count="3">
    <format dxfId="18">
      <pivotArea collapsedLevelsAreSubtotals="1" fieldPosition="0">
        <references count="1">
          <reference field="2" count="1">
            <x v="8"/>
          </reference>
        </references>
      </pivotArea>
    </format>
    <format dxfId="19">
      <pivotArea collapsedLevelsAreSubtotals="1" fieldPosition="0">
        <references count="2">
          <reference field="4294967294" count="1" selected="0">
            <x v="1"/>
          </reference>
          <reference field="2" count="1">
            <x v="8"/>
          </reference>
        </references>
      </pivotArea>
    </format>
    <format dxfId="20">
      <pivotArea collapsedLevelsAreSubtotals="1" fieldPosition="0">
        <references count="2">
          <reference field="4294967294" count="1" selected="0">
            <x v="0"/>
          </reference>
          <reference field="2" count="1">
            <x v="8"/>
          </reference>
        </references>
      </pivotArea>
    </format>
  </formats>
  <conditionalFormats count="4">
    <conditionalFormat priority="1">
      <pivotAreas count="1">
        <pivotArea type="data" collapsedLevelsAreSubtotals="1" fieldPosition="0">
          <references count="2">
            <reference field="4294967294" count="1" selected="0">
              <x v="1"/>
            </reference>
            <reference field="2" count="5">
              <x v="0"/>
              <x v="32"/>
              <x v="38"/>
              <x v="44"/>
              <x v="59"/>
            </reference>
          </references>
        </pivotArea>
      </pivotAreas>
    </conditionalFormat>
    <conditionalFormat priority="2">
      <pivotAreas count="1">
        <pivotArea type="data" collapsedLevelsAreSubtotals="1" fieldPosition="0">
          <references count="2">
            <reference field="4294967294" count="1" selected="0">
              <x v="1"/>
            </reference>
            <reference field="2" count="5">
              <x v="1"/>
              <x v="8"/>
              <x v="26"/>
              <x v="41"/>
              <x v="47"/>
            </reference>
          </references>
        </pivotArea>
      </pivotAreas>
    </conditionalFormat>
    <conditionalFormat priority="3">
      <pivotAreas count="1">
        <pivotArea type="data" collapsedLevelsAreSubtotals="1" fieldPosition="0">
          <references count="2">
            <reference field="4294967294" count="1" selected="0">
              <x v="0"/>
            </reference>
            <reference field="2" count="5">
              <x v="0"/>
              <x v="32"/>
              <x v="38"/>
              <x v="44"/>
              <x v="59"/>
            </reference>
          </references>
        </pivotArea>
      </pivotAreas>
    </conditionalFormat>
    <conditionalFormat priority="4">
      <pivotAreas count="1">
        <pivotArea type="data" collapsedLevelsAreSubtotals="1" fieldPosition="0">
          <references count="2">
            <reference field="4294967294" count="1" selected="0">
              <x v="0"/>
            </reference>
            <reference field="2" count="5">
              <x v="1"/>
              <x v="8"/>
              <x v="26"/>
              <x v="41"/>
              <x v="47"/>
            </reference>
          </references>
        </pivotArea>
      </pivotAreas>
    </conditionalFormat>
  </conditionalFormats>
  <pivotTableStyleInfo name="PivotStyleLight16" showRowHeaders="1" showColHeaders="1" showRowStripes="0" showColStripes="0" showLastColumn="1"/>
  <filters count="3">
    <filter fld="2" type="captionNotEqual" evalOrder="-1" id="5" stringValue1="N/A">
      <autoFilter ref="A1">
        <filterColumn colId="0">
          <customFilters>
            <customFilter operator="notEqual" val="N/A"/>
          </customFilters>
        </filterColumn>
      </autoFilter>
    </filter>
    <filter fld="1" type="count" evalOrder="-1" id="3" iMeasureFld="0">
      <autoFilter ref="A1">
        <filterColumn colId="0">
          <top10 val="5" filterVal="5"/>
        </filterColumn>
      </autoFilter>
    </filter>
    <filter fld="2"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F06A42-9129-4C02-AD35-2CD6B13FDD9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rowHeaderCaption="Price Range">
  <location ref="F19:H26" firstHeaderRow="0" firstDataRow="1" firstDataCol="1"/>
  <pivotFields count="14">
    <pivotField dataField="1" showAll="0"/>
    <pivotField showAll="0" measureFilter="1"/>
    <pivotField showAll="0" measureFilter="1"/>
    <pivotField showAll="0"/>
    <pivotField showAll="0"/>
    <pivotField showAll="0"/>
    <pivotField dataField="1" showAll="0"/>
    <pivotField numFmtId="14" showAll="0">
      <items count="55">
        <item x="42"/>
        <item x="41"/>
        <item x="40"/>
        <item x="39"/>
        <item x="38"/>
        <item x="37"/>
        <item x="36"/>
        <item x="35"/>
        <item x="34"/>
        <item x="33"/>
        <item x="32"/>
        <item x="53"/>
        <item x="52"/>
        <item x="31"/>
        <item x="30"/>
        <item x="29"/>
        <item x="51"/>
        <item x="28"/>
        <item x="27"/>
        <item x="50"/>
        <item x="49"/>
        <item x="26"/>
        <item x="25"/>
        <item x="24"/>
        <item x="23"/>
        <item x="22"/>
        <item x="21"/>
        <item x="20"/>
        <item x="19"/>
        <item x="48"/>
        <item x="47"/>
        <item x="18"/>
        <item x="17"/>
        <item x="46"/>
        <item x="16"/>
        <item x="45"/>
        <item x="15"/>
        <item x="14"/>
        <item x="13"/>
        <item x="12"/>
        <item x="11"/>
        <item x="10"/>
        <item x="9"/>
        <item x="44"/>
        <item x="8"/>
        <item x="43"/>
        <item x="7"/>
        <item x="6"/>
        <item x="5"/>
        <item x="4"/>
        <item x="3"/>
        <item x="2"/>
        <item x="1"/>
        <item x="0"/>
        <item t="default"/>
      </items>
    </pivotField>
    <pivotField showAll="0"/>
    <pivotField showAll="0">
      <items count="4">
        <item h="1" x="0"/>
        <item x="1"/>
        <item h="1" x="2"/>
        <item t="default"/>
      </items>
    </pivotField>
    <pivotField axis="axisRow" showAll="0">
      <items count="10">
        <item x="6"/>
        <item x="1"/>
        <item x="5"/>
        <item x="2"/>
        <item x="0"/>
        <item x="3"/>
        <item x="4"/>
        <item x="7"/>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7">
    <i>
      <x v="1"/>
    </i>
    <i>
      <x v="4"/>
    </i>
    <i>
      <x v="5"/>
    </i>
    <i>
      <x v="6"/>
    </i>
    <i>
      <x v="7"/>
    </i>
    <i>
      <x v="8"/>
    </i>
    <i t="grand">
      <x/>
    </i>
  </rowItems>
  <colFields count="1">
    <field x="-2"/>
  </colFields>
  <colItems count="2">
    <i>
      <x/>
    </i>
    <i i="1">
      <x v="1"/>
    </i>
  </colItems>
  <dataFields count="2">
    <dataField name="Properties sold" fld="0" subtotal="count" baseField="2" baseItem="3"/>
    <dataField name="Average of Sale Price" fld="6" subtotal="average" baseField="2" baseItem="3"/>
  </dataFields>
  <pivotTableStyleInfo name="PivotStyleLight16" showRowHeaders="1" showColHeaders="1" showRowStripes="0" showColStripes="0" showLastColumn="1"/>
  <filters count="3">
    <filter fld="2" type="captionNotEqual" evalOrder="-1" id="5" stringValue1="N/A">
      <autoFilter ref="A1">
        <filterColumn colId="0">
          <customFilters>
            <customFilter operator="notEqual" val="N/A"/>
          </customFilters>
        </filterColumn>
      </autoFilter>
    </filter>
    <filter fld="1" type="count" evalOrder="-1" id="3" iMeasureFld="0">
      <autoFilter ref="A1">
        <filterColumn colId="0">
          <top10 val="5" filterVal="5"/>
        </filterColumn>
      </autoFilter>
    </filter>
    <filter fld="2"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7097A62-D87F-4287-840C-FDE4784F26DD}" autoFormatId="16" applyNumberFormats="0" applyBorderFormats="0" applyFontFormats="0" applyPatternFormats="0" applyAlignmentFormats="0" applyWidthHeightFormats="0">
  <queryTableRefresh nextId="12" unboundColumnsRight="1">
    <queryTableFields count="11">
      <queryTableField id="1" name="Address" tableColumnId="1"/>
      <queryTableField id="2" name="Property type" tableColumnId="2"/>
      <queryTableField id="3" name="Sold BY" tableColumnId="3"/>
      <queryTableField id="4" name="BED" tableColumnId="4"/>
      <queryTableField id="5" name="Bath" tableColumnId="5"/>
      <queryTableField id="6" name="CAR" tableColumnId="6"/>
      <queryTableField id="7" name="Sale Price" tableColumnId="7"/>
      <queryTableField id="8" name="Sale Date" tableColumnId="8"/>
      <queryTableField id="9" name="Postcode" tableColumnId="9"/>
      <queryTableField id="10" name="Suburb" tableColumnId="10"/>
      <queryTableField id="11"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urb" xr10:uid="{D785BCDC-046E-4B06-AA9C-237FC7827177}" sourceName="Suburb">
  <pivotTables>
    <pivotTable tabId="3" name="PivotTable1"/>
    <pivotTable tabId="3" name="PivotTable2"/>
    <pivotTable tabId="1" name="PivotTable4"/>
    <pivotTable tabId="3" name="PivotTable5"/>
    <pivotTable tabId="1" name="PivotTable6"/>
    <pivotTable tabId="3" name="PivotTable6"/>
  </pivotTables>
  <data>
    <tabular pivotCacheId="845669414">
      <items count="3">
        <i x="0"/>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2783341F-468A-470E-85DE-5FFF1740DFFA}" sourceName="Price Range">
  <pivotTables>
    <pivotTable tabId="3" name="PivotTable5"/>
    <pivotTable tabId="3" name="PivotTable6"/>
  </pivotTables>
  <data>
    <tabular pivotCacheId="845669414">
      <items count="9">
        <i x="1" s="1"/>
        <i x="0" s="1"/>
        <i x="3" s="1"/>
        <i x="4" s="1"/>
        <i x="7" s="1"/>
        <i x="8" s="1"/>
        <i x="6" s="1" nd="1"/>
        <i x="5" s="1"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urb" xr10:uid="{EB6974DB-66B0-4DD7-94B2-771AB0681C87}" cache="Slicer_Suburb" caption="Suburb" rowHeight="262466"/>
  <slicer name="Price Range" xr10:uid="{0B259519-FCEB-4942-B8DF-B35C4486E6B5}" cache="Slicer_Price_Range" caption="Price Rang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urb 1" xr10:uid="{011232DF-0119-4AEB-8C23-95B3EE745A74}" cache="Slicer_Suburb" caption="Suburb" rowHeight="262466"/>
  <slicer name="Price Range 1" xr10:uid="{9ED60BB0-351B-4923-98D5-FBAD9EEDCD7C}" cache="Slicer_Price_Range" caption="Price Range" rowHeight="26246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D5DDCA-F81C-4C66-A639-4532992E5344}" name="Burwood" displayName="Burwood" ref="A1:K407" tableType="queryTable" totalsRowShown="0">
  <autoFilter ref="A1:K407" xr:uid="{67D5DDCA-F81C-4C66-A639-4532992E5344}"/>
  <tableColumns count="11">
    <tableColumn id="1" xr3:uid="{4650F940-FF64-438C-B6FF-633D6D7C5CD4}" uniqueName="1" name="Address" queryTableFieldId="1" dataDxfId="30"/>
    <tableColumn id="2" xr3:uid="{F89E9EED-5884-4E12-8404-F49397F69C00}" uniqueName="2" name="Property type" queryTableFieldId="2" dataDxfId="29"/>
    <tableColumn id="3" xr3:uid="{8F577494-57F2-4759-8C91-D5AC3866640D}" uniqueName="3" name="Sold BY" queryTableFieldId="3" dataDxfId="28"/>
    <tableColumn id="4" xr3:uid="{FB9605CD-955F-4EB5-9FB9-6F37B4B4083B}" uniqueName="4" name="BED" queryTableFieldId="4" dataDxfId="27"/>
    <tableColumn id="5" xr3:uid="{3F00B69E-99C6-4BD3-A0EB-1E1728EE08E2}" uniqueName="5" name="Bath" queryTableFieldId="5" dataDxfId="26"/>
    <tableColumn id="6" xr3:uid="{6B3041D3-E359-4924-A82E-AED22B6873E6}" uniqueName="6" name="CAR" queryTableFieldId="6" dataDxfId="25"/>
    <tableColumn id="7" xr3:uid="{7E0EE698-62BE-44E0-B2DE-377A9DBC4F7A}" uniqueName="7" name="Sale Price" queryTableFieldId="7"/>
    <tableColumn id="8" xr3:uid="{5433BCA7-1590-46AD-9BAA-3DD3C311935E}" uniqueName="8" name="Sale Date" queryTableFieldId="8" dataDxfId="24"/>
    <tableColumn id="9" xr3:uid="{64B517B7-46B3-4B15-B1E6-7E1C60839C0B}" uniqueName="9" name="Postcode" queryTableFieldId="9" dataDxfId="23"/>
    <tableColumn id="10" xr3:uid="{CB04420D-72BA-4C68-ADC5-EC74C9BE222A}" uniqueName="10" name="Suburb" queryTableFieldId="10" dataDxfId="22"/>
    <tableColumn id="11" xr3:uid="{5D33BCA4-45D3-4DB4-B18B-9B18013E10EE}" uniqueName="11" name="Price Range" queryTableFieldId="11" dataDxfId="21">
      <calculatedColumnFormula>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Wisp">
  <a:themeElements>
    <a:clrScheme name="Wisp">
      <a:dk1>
        <a:sysClr val="windowText" lastClr="000000"/>
      </a:dk1>
      <a:lt1>
        <a:sysClr val="window" lastClr="FFFFFF"/>
      </a:lt1>
      <a:dk2>
        <a:srgbClr val="766F54"/>
      </a:dk2>
      <a:lt2>
        <a:srgbClr val="E3EACF"/>
      </a:lt2>
      <a:accent1>
        <a:srgbClr val="A53010"/>
      </a:accent1>
      <a:accent2>
        <a:srgbClr val="DE7E18"/>
      </a:accent2>
      <a:accent3>
        <a:srgbClr val="9F8351"/>
      </a:accent3>
      <a:accent4>
        <a:srgbClr val="728653"/>
      </a:accent4>
      <a:accent5>
        <a:srgbClr val="92AA4C"/>
      </a:accent5>
      <a:accent6>
        <a:srgbClr val="6AAC91"/>
      </a:accent6>
      <a:hlink>
        <a:srgbClr val="FB4A18"/>
      </a:hlink>
      <a:folHlink>
        <a:srgbClr val="FB9318"/>
      </a:folHlink>
    </a:clrScheme>
    <a:fontScheme name="Wisp">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Wisp">
      <a:fillStyleLst>
        <a:solidFill>
          <a:schemeClr val="phClr"/>
        </a:solidFill>
        <a:solidFill>
          <a:schemeClr val="phClr">
            <a:tint val="70000"/>
            <a:lumMod val="104000"/>
          </a:schemeClr>
        </a:solidFill>
        <a:gradFill rotWithShape="1">
          <a:gsLst>
            <a:gs pos="0">
              <a:schemeClr val="phClr">
                <a:tint val="96000"/>
                <a:lumMod val="104000"/>
              </a:schemeClr>
            </a:gs>
            <a:gs pos="100000">
              <a:schemeClr val="phClr">
                <a:shade val="98000"/>
                <a:lumMod val="94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outerShdw blurRad="38100" dist="25400" dir="5400000" rotWithShape="0">
              <a:srgbClr val="000000">
                <a:alpha val="25000"/>
              </a:srgbClr>
            </a:outerShdw>
          </a:effectLst>
        </a:effectStyle>
        <a:effectStyle>
          <a:effectLst>
            <a:outerShdw blurRad="50800" dist="38100" dir="5400000" rotWithShape="0">
              <a:srgbClr val="000000">
                <a:alpha val="60000"/>
              </a:srgbClr>
            </a:outerShdw>
          </a:effectLst>
        </a:effectStyle>
      </a:effectStyleLst>
      <a:bgFillStyleLst>
        <a:solidFill>
          <a:schemeClr val="phClr"/>
        </a:solidFill>
        <a:gradFill rotWithShape="1">
          <a:gsLst>
            <a:gs pos="0">
              <a:schemeClr val="phClr">
                <a:tint val="90000"/>
                <a:lumMod val="120000"/>
              </a:schemeClr>
            </a:gs>
            <a:gs pos="100000">
              <a:schemeClr val="phClr">
                <a:shade val="98000"/>
                <a:satMod val="120000"/>
                <a:lumMod val="98000"/>
              </a:schemeClr>
            </a:gs>
          </a:gsLst>
          <a:lin ang="5400000" scaled="0"/>
        </a:gradFill>
        <a:gradFill rotWithShape="1">
          <a:gsLst>
            <a:gs pos="0">
              <a:schemeClr val="phClr">
                <a:tint val="90000"/>
                <a:satMod val="92000"/>
                <a:lumMod val="120000"/>
              </a:schemeClr>
            </a:gs>
            <a:gs pos="100000">
              <a:schemeClr val="phClr">
                <a:shade val="98000"/>
                <a:satMod val="120000"/>
                <a:lumMod val="98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Wisp" id="{7CB32D59-10C0-40DD-B7BD-2E94284A981C}" vid="{24B1A44C-C006-48B2-A4D7-E5549B3D8CD4}"/>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48AB0-D86A-49E4-B90E-7690057D8B7D}">
  <dimension ref="A3:C34"/>
  <sheetViews>
    <sheetView workbookViewId="0">
      <selection activeCell="I8" sqref="I8"/>
    </sheetView>
  </sheetViews>
  <sheetFormatPr defaultRowHeight="15.5" x14ac:dyDescent="0.75"/>
  <cols>
    <col min="1" max="1" width="12.625" bestFit="1" customWidth="1"/>
    <col min="2" max="2" width="13.58203125" bestFit="1" customWidth="1"/>
    <col min="3" max="3" width="19.9140625" bestFit="1" customWidth="1"/>
    <col min="4" max="4" width="19.4140625" bestFit="1" customWidth="1"/>
    <col min="5" max="6" width="9.95703125" bestFit="1" customWidth="1"/>
    <col min="7" max="7" width="8.4140625" bestFit="1" customWidth="1"/>
    <col min="8" max="8" width="19.9140625" bestFit="1" customWidth="1"/>
    <col min="9" max="12" width="9.95703125" bestFit="1" customWidth="1"/>
    <col min="13" max="13" width="8.4140625" bestFit="1" customWidth="1"/>
    <col min="14" max="14" width="20.5" bestFit="1" customWidth="1"/>
    <col min="15" max="15" width="24.58203125" bestFit="1" customWidth="1"/>
  </cols>
  <sheetData>
    <row r="3" spans="1:3" x14ac:dyDescent="0.75">
      <c r="A3" s="4" t="s">
        <v>293</v>
      </c>
      <c r="B3" t="s">
        <v>295</v>
      </c>
    </row>
    <row r="4" spans="1:3" x14ac:dyDescent="0.75">
      <c r="A4" s="5" t="s">
        <v>18</v>
      </c>
      <c r="B4" s="9">
        <v>21</v>
      </c>
    </row>
    <row r="5" spans="1:3" x14ac:dyDescent="0.75">
      <c r="A5" s="5" t="s">
        <v>11</v>
      </c>
      <c r="B5" s="9">
        <v>64</v>
      </c>
    </row>
    <row r="6" spans="1:3" x14ac:dyDescent="0.75">
      <c r="A6" s="5" t="s">
        <v>294</v>
      </c>
      <c r="B6" s="9">
        <v>85</v>
      </c>
    </row>
    <row r="9" spans="1:3" x14ac:dyDescent="0.75">
      <c r="A9" s="4" t="s">
        <v>293</v>
      </c>
      <c r="B9" t="s">
        <v>295</v>
      </c>
      <c r="C9" t="s">
        <v>299</v>
      </c>
    </row>
    <row r="10" spans="1:3" x14ac:dyDescent="0.75">
      <c r="A10" s="5" t="s">
        <v>71</v>
      </c>
      <c r="B10" s="9">
        <v>6</v>
      </c>
      <c r="C10" s="9">
        <v>2060500</v>
      </c>
    </row>
    <row r="11" spans="1:3" x14ac:dyDescent="0.75">
      <c r="A11" s="5" t="s">
        <v>214</v>
      </c>
      <c r="B11" s="9">
        <v>6</v>
      </c>
      <c r="C11" s="9">
        <v>1158333.3333333333</v>
      </c>
    </row>
    <row r="12" spans="1:3" x14ac:dyDescent="0.75">
      <c r="A12" s="5" t="s">
        <v>187</v>
      </c>
      <c r="B12" s="9">
        <v>6</v>
      </c>
      <c r="C12" s="9">
        <v>1509000</v>
      </c>
    </row>
    <row r="13" spans="1:3" x14ac:dyDescent="0.75">
      <c r="A13" s="5" t="s">
        <v>200</v>
      </c>
      <c r="B13" s="9">
        <v>4</v>
      </c>
      <c r="C13" s="9">
        <v>3032000</v>
      </c>
    </row>
    <row r="14" spans="1:3" x14ac:dyDescent="0.75">
      <c r="A14" s="5" t="s">
        <v>249</v>
      </c>
      <c r="B14" s="9">
        <v>6</v>
      </c>
      <c r="C14" s="9">
        <v>1450000</v>
      </c>
    </row>
    <row r="15" spans="1:3" x14ac:dyDescent="0.75">
      <c r="A15" s="5" t="s">
        <v>294</v>
      </c>
      <c r="B15" s="9">
        <v>28</v>
      </c>
      <c r="C15" s="9">
        <v>1756964.2857142857</v>
      </c>
    </row>
    <row r="18" spans="1:3" x14ac:dyDescent="0.75">
      <c r="A18" s="4" t="s">
        <v>293</v>
      </c>
      <c r="B18" t="s">
        <v>295</v>
      </c>
      <c r="C18" t="s">
        <v>299</v>
      </c>
    </row>
    <row r="19" spans="1:3" x14ac:dyDescent="0.75">
      <c r="A19" s="5" t="s">
        <v>301</v>
      </c>
      <c r="B19" s="9">
        <v>49</v>
      </c>
      <c r="C19" s="9">
        <v>2242877.551020408</v>
      </c>
    </row>
    <row r="20" spans="1:3" x14ac:dyDescent="0.75">
      <c r="A20" s="5" t="s">
        <v>306</v>
      </c>
      <c r="B20" s="9">
        <v>4</v>
      </c>
      <c r="C20" s="9">
        <v>592500</v>
      </c>
    </row>
    <row r="21" spans="1:3" x14ac:dyDescent="0.75">
      <c r="A21" s="5" t="s">
        <v>303</v>
      </c>
      <c r="B21" s="9">
        <v>6</v>
      </c>
      <c r="C21" s="9">
        <v>671333.33333333337</v>
      </c>
    </row>
    <row r="22" spans="1:3" x14ac:dyDescent="0.75">
      <c r="A22" s="5" t="s">
        <v>304</v>
      </c>
      <c r="B22" s="9">
        <v>10</v>
      </c>
      <c r="C22" s="9">
        <v>746800</v>
      </c>
    </row>
    <row r="23" spans="1:3" x14ac:dyDescent="0.75">
      <c r="A23" s="5" t="s">
        <v>305</v>
      </c>
      <c r="B23" s="9">
        <v>6</v>
      </c>
      <c r="C23" s="9">
        <v>847666.66666666663</v>
      </c>
    </row>
    <row r="24" spans="1:3" x14ac:dyDescent="0.75">
      <c r="A24" s="5" t="s">
        <v>307</v>
      </c>
      <c r="B24" s="9">
        <v>10</v>
      </c>
      <c r="C24" s="9">
        <v>957680</v>
      </c>
    </row>
    <row r="25" spans="1:3" x14ac:dyDescent="0.75">
      <c r="A25" s="5" t="s">
        <v>294</v>
      </c>
      <c r="B25" s="9">
        <v>85</v>
      </c>
      <c r="C25" s="9">
        <v>1628585.8823529412</v>
      </c>
    </row>
    <row r="28" spans="1:3" x14ac:dyDescent="0.75">
      <c r="A28" s="4" t="s">
        <v>293</v>
      </c>
      <c r="B28" t="s">
        <v>308</v>
      </c>
    </row>
    <row r="29" spans="1:3" x14ac:dyDescent="0.75">
      <c r="A29" s="5" t="s">
        <v>309</v>
      </c>
      <c r="B29" s="9">
        <v>40</v>
      </c>
    </row>
    <row r="30" spans="1:3" x14ac:dyDescent="0.75">
      <c r="A30" s="7" t="s">
        <v>311</v>
      </c>
      <c r="B30" s="9">
        <v>40</v>
      </c>
    </row>
    <row r="31" spans="1:3" x14ac:dyDescent="0.75">
      <c r="A31" s="5" t="s">
        <v>310</v>
      </c>
      <c r="B31" s="9">
        <v>45</v>
      </c>
    </row>
    <row r="32" spans="1:3" x14ac:dyDescent="0.75">
      <c r="A32" s="7" t="s">
        <v>312</v>
      </c>
      <c r="B32" s="9">
        <v>25</v>
      </c>
    </row>
    <row r="33" spans="1:2" x14ac:dyDescent="0.75">
      <c r="A33" s="7" t="s">
        <v>313</v>
      </c>
      <c r="B33" s="9">
        <v>20</v>
      </c>
    </row>
    <row r="34" spans="1:2" x14ac:dyDescent="0.75">
      <c r="A34" s="5" t="s">
        <v>294</v>
      </c>
      <c r="B34" s="9">
        <v>85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0B7D5-4E6F-4CAE-9C5E-ED0AD8767969}">
  <dimension ref="A1:O407"/>
  <sheetViews>
    <sheetView topLeftCell="A116" workbookViewId="0">
      <selection sqref="A1:XFD1048576"/>
    </sheetView>
  </sheetViews>
  <sheetFormatPr defaultRowHeight="15.5" x14ac:dyDescent="0.75"/>
  <cols>
    <col min="1" max="1" width="48.08203125" bestFit="1" customWidth="1"/>
    <col min="2" max="2" width="14.6640625" bestFit="1" customWidth="1"/>
    <col min="3" max="3" width="58.20703125" bestFit="1" customWidth="1"/>
    <col min="4" max="4" width="6.125" bestFit="1" customWidth="1"/>
    <col min="5" max="5" width="6.70703125" bestFit="1" customWidth="1"/>
    <col min="6" max="6" width="6.6640625" bestFit="1" customWidth="1"/>
    <col min="7" max="7" width="11.5" bestFit="1" customWidth="1"/>
    <col min="8" max="8" width="11.2890625" bestFit="1" customWidth="1"/>
    <col min="9" max="9" width="11.0390625" bestFit="1" customWidth="1"/>
    <col min="10" max="10" width="10.25" bestFit="1" customWidth="1"/>
    <col min="11" max="11" width="13.45703125" bestFit="1" customWidth="1"/>
    <col min="15" max="15" width="11.5390625" customWidth="1"/>
  </cols>
  <sheetData>
    <row r="1" spans="1:11" x14ac:dyDescent="0.75">
      <c r="A1" t="s">
        <v>0</v>
      </c>
      <c r="B1" t="s">
        <v>1</v>
      </c>
      <c r="C1" t="s">
        <v>2</v>
      </c>
      <c r="D1" t="s">
        <v>3</v>
      </c>
      <c r="E1" t="s">
        <v>4</v>
      </c>
      <c r="F1" t="s">
        <v>5</v>
      </c>
      <c r="G1" t="s">
        <v>6</v>
      </c>
      <c r="H1" t="s">
        <v>7</v>
      </c>
      <c r="I1" t="s">
        <v>8</v>
      </c>
      <c r="J1" t="s">
        <v>9</v>
      </c>
      <c r="K1" t="s">
        <v>302</v>
      </c>
    </row>
    <row r="2" spans="1:11" x14ac:dyDescent="0.75">
      <c r="A2" t="s">
        <v>10</v>
      </c>
      <c r="B2" t="s">
        <v>11</v>
      </c>
      <c r="C2" t="s">
        <v>12</v>
      </c>
      <c r="D2" t="s">
        <v>13</v>
      </c>
      <c r="E2" t="s">
        <v>13</v>
      </c>
      <c r="F2" t="s">
        <v>14</v>
      </c>
      <c r="G2">
        <v>582000</v>
      </c>
      <c r="H2" s="1">
        <v>45720</v>
      </c>
      <c r="I2" t="s">
        <v>15</v>
      </c>
      <c r="J2" t="s">
        <v>16</v>
      </c>
      <c r="K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3" spans="1:11" x14ac:dyDescent="0.75">
      <c r="A3" t="s">
        <v>17</v>
      </c>
      <c r="B3" t="s">
        <v>18</v>
      </c>
      <c r="C3" t="s">
        <v>19</v>
      </c>
      <c r="D3" t="s">
        <v>20</v>
      </c>
      <c r="E3" t="s">
        <v>13</v>
      </c>
      <c r="F3" t="s">
        <v>14</v>
      </c>
      <c r="G3">
        <v>1588000</v>
      </c>
      <c r="H3" s="1">
        <v>45717</v>
      </c>
      <c r="I3" t="s">
        <v>15</v>
      </c>
      <c r="J3" t="s">
        <v>16</v>
      </c>
      <c r="K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4" spans="1:11" x14ac:dyDescent="0.75">
      <c r="A4" t="s">
        <v>21</v>
      </c>
      <c r="B4" t="s">
        <v>18</v>
      </c>
      <c r="C4" t="s">
        <v>22</v>
      </c>
      <c r="D4" t="s">
        <v>20</v>
      </c>
      <c r="E4" t="s">
        <v>13</v>
      </c>
      <c r="F4" t="s">
        <v>13</v>
      </c>
      <c r="G4">
        <v>2350000</v>
      </c>
      <c r="H4" s="1">
        <v>45716</v>
      </c>
      <c r="I4" t="s">
        <v>15</v>
      </c>
      <c r="J4" t="s">
        <v>16</v>
      </c>
      <c r="K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5" spans="1:11" x14ac:dyDescent="0.75">
      <c r="A5" t="s">
        <v>23</v>
      </c>
      <c r="B5" t="s">
        <v>11</v>
      </c>
      <c r="C5" t="s">
        <v>22</v>
      </c>
      <c r="D5" t="s">
        <v>13</v>
      </c>
      <c r="E5" t="s">
        <v>13</v>
      </c>
      <c r="F5" t="s">
        <v>24</v>
      </c>
      <c r="G5">
        <v>587000</v>
      </c>
      <c r="H5" s="1">
        <v>45716</v>
      </c>
      <c r="I5" t="s">
        <v>15</v>
      </c>
      <c r="J5" t="s">
        <v>16</v>
      </c>
      <c r="K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6" spans="1:11" x14ac:dyDescent="0.75">
      <c r="A6" t="s">
        <v>25</v>
      </c>
      <c r="B6" t="s">
        <v>11</v>
      </c>
      <c r="C6" t="s">
        <v>26</v>
      </c>
      <c r="D6" t="s">
        <v>13</v>
      </c>
      <c r="E6" t="s">
        <v>13</v>
      </c>
      <c r="F6" t="s">
        <v>24</v>
      </c>
      <c r="G6">
        <v>510000</v>
      </c>
      <c r="H6" s="1">
        <v>45713</v>
      </c>
      <c r="I6" t="s">
        <v>15</v>
      </c>
      <c r="J6" t="s">
        <v>16</v>
      </c>
      <c r="K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7" spans="1:11" x14ac:dyDescent="0.75">
      <c r="A7" t="s">
        <v>27</v>
      </c>
      <c r="B7" t="s">
        <v>18</v>
      </c>
      <c r="C7" t="s">
        <v>28</v>
      </c>
      <c r="D7" t="s">
        <v>29</v>
      </c>
      <c r="E7" t="s">
        <v>13</v>
      </c>
      <c r="F7" t="s">
        <v>14</v>
      </c>
      <c r="G7">
        <v>1266666</v>
      </c>
      <c r="H7" s="1">
        <v>45712</v>
      </c>
      <c r="I7" t="s">
        <v>15</v>
      </c>
      <c r="J7" t="s">
        <v>16</v>
      </c>
      <c r="K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8" spans="1:11" x14ac:dyDescent="0.75">
      <c r="A8" t="s">
        <v>30</v>
      </c>
      <c r="B8" t="s">
        <v>18</v>
      </c>
      <c r="C8" t="s">
        <v>22</v>
      </c>
      <c r="D8" t="s">
        <v>31</v>
      </c>
      <c r="E8" t="s">
        <v>13</v>
      </c>
      <c r="F8" t="s">
        <v>13</v>
      </c>
      <c r="G8">
        <v>1976000</v>
      </c>
      <c r="H8" s="1">
        <v>45712</v>
      </c>
      <c r="I8" t="s">
        <v>15</v>
      </c>
      <c r="J8" t="s">
        <v>16</v>
      </c>
      <c r="K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9" spans="1:11" x14ac:dyDescent="0.75">
      <c r="A9" t="s">
        <v>32</v>
      </c>
      <c r="B9" t="s">
        <v>11</v>
      </c>
      <c r="C9" t="s">
        <v>22</v>
      </c>
      <c r="D9" t="s">
        <v>13</v>
      </c>
      <c r="E9" t="s">
        <v>14</v>
      </c>
      <c r="F9" t="s">
        <v>14</v>
      </c>
      <c r="G9">
        <v>490000</v>
      </c>
      <c r="H9" s="1">
        <v>45712</v>
      </c>
      <c r="I9" t="s">
        <v>15</v>
      </c>
      <c r="J9" t="s">
        <v>16</v>
      </c>
      <c r="K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10" spans="1:11" x14ac:dyDescent="0.75">
      <c r="A10" t="s">
        <v>33</v>
      </c>
      <c r="B10" t="s">
        <v>11</v>
      </c>
      <c r="C10" t="s">
        <v>34</v>
      </c>
      <c r="D10" t="s">
        <v>29</v>
      </c>
      <c r="E10" t="s">
        <v>13</v>
      </c>
      <c r="F10" t="s">
        <v>24</v>
      </c>
      <c r="G10">
        <v>670000</v>
      </c>
      <c r="H10" s="1">
        <v>45712</v>
      </c>
      <c r="I10" t="s">
        <v>15</v>
      </c>
      <c r="J10" t="s">
        <v>16</v>
      </c>
      <c r="K1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11" spans="1:11" x14ac:dyDescent="0.75">
      <c r="A11" t="s">
        <v>35</v>
      </c>
      <c r="B11" t="s">
        <v>11</v>
      </c>
      <c r="C11" t="s">
        <v>24</v>
      </c>
      <c r="D11" t="s">
        <v>29</v>
      </c>
      <c r="E11" t="s">
        <v>13</v>
      </c>
      <c r="F11" t="s">
        <v>14</v>
      </c>
      <c r="G11">
        <v>680000</v>
      </c>
      <c r="H11" s="1">
        <v>45712</v>
      </c>
      <c r="I11" t="s">
        <v>15</v>
      </c>
      <c r="J11" t="s">
        <v>16</v>
      </c>
      <c r="K1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12" spans="1:11" x14ac:dyDescent="0.75">
      <c r="A12" t="s">
        <v>36</v>
      </c>
      <c r="B12" t="s">
        <v>18</v>
      </c>
      <c r="C12" t="s">
        <v>37</v>
      </c>
      <c r="D12" t="s">
        <v>38</v>
      </c>
      <c r="E12" t="s">
        <v>31</v>
      </c>
      <c r="F12" t="s">
        <v>13</v>
      </c>
      <c r="G12">
        <v>2220000</v>
      </c>
      <c r="H12" s="1">
        <v>45709</v>
      </c>
      <c r="I12" t="s">
        <v>15</v>
      </c>
      <c r="J12" t="s">
        <v>16</v>
      </c>
      <c r="K1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3" spans="1:11" x14ac:dyDescent="0.75">
      <c r="A13" t="s">
        <v>39</v>
      </c>
      <c r="B13" t="s">
        <v>11</v>
      </c>
      <c r="C13" t="s">
        <v>22</v>
      </c>
      <c r="D13" t="s">
        <v>13</v>
      </c>
      <c r="E13" t="s">
        <v>14</v>
      </c>
      <c r="F13" t="s">
        <v>14</v>
      </c>
      <c r="G13">
        <v>475000</v>
      </c>
      <c r="H13" s="1">
        <v>45709</v>
      </c>
      <c r="I13" t="s">
        <v>15</v>
      </c>
      <c r="J13" t="s">
        <v>16</v>
      </c>
      <c r="K1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14" spans="1:11" x14ac:dyDescent="0.75">
      <c r="A14" t="s">
        <v>40</v>
      </c>
      <c r="B14" t="s">
        <v>11</v>
      </c>
      <c r="C14" t="s">
        <v>41</v>
      </c>
      <c r="D14" t="s">
        <v>13</v>
      </c>
      <c r="E14" t="s">
        <v>14</v>
      </c>
      <c r="F14" t="s">
        <v>14</v>
      </c>
      <c r="G14">
        <v>450000</v>
      </c>
      <c r="H14" s="1">
        <v>45709</v>
      </c>
      <c r="I14" t="s">
        <v>15</v>
      </c>
      <c r="J14" t="s">
        <v>16</v>
      </c>
      <c r="K1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15" spans="1:11" x14ac:dyDescent="0.75">
      <c r="A15" t="s">
        <v>42</v>
      </c>
      <c r="B15" t="s">
        <v>11</v>
      </c>
      <c r="C15" t="s">
        <v>19</v>
      </c>
      <c r="D15" t="s">
        <v>29</v>
      </c>
      <c r="E15" t="s">
        <v>13</v>
      </c>
      <c r="F15" t="s">
        <v>14</v>
      </c>
      <c r="G15">
        <v>640000</v>
      </c>
      <c r="H15" s="1">
        <v>45709</v>
      </c>
      <c r="I15" t="s">
        <v>15</v>
      </c>
      <c r="J15" t="s">
        <v>16</v>
      </c>
      <c r="K1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16" spans="1:11" x14ac:dyDescent="0.75">
      <c r="A16" t="s">
        <v>43</v>
      </c>
      <c r="B16" t="s">
        <v>18</v>
      </c>
      <c r="C16" t="s">
        <v>22</v>
      </c>
      <c r="D16" t="s">
        <v>29</v>
      </c>
      <c r="E16" t="s">
        <v>13</v>
      </c>
      <c r="F16" t="s">
        <v>14</v>
      </c>
      <c r="G16">
        <v>1590000</v>
      </c>
      <c r="H16" s="1">
        <v>45709</v>
      </c>
      <c r="I16" t="s">
        <v>15</v>
      </c>
      <c r="J16" t="s">
        <v>16</v>
      </c>
      <c r="K1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7" spans="1:11" x14ac:dyDescent="0.75">
      <c r="A17" t="s">
        <v>44</v>
      </c>
      <c r="B17" t="s">
        <v>18</v>
      </c>
      <c r="C17" t="s">
        <v>28</v>
      </c>
      <c r="D17" t="s">
        <v>31</v>
      </c>
      <c r="E17" t="s">
        <v>14</v>
      </c>
      <c r="F17" t="s">
        <v>31</v>
      </c>
      <c r="G17">
        <v>1690000</v>
      </c>
      <c r="H17" s="1">
        <v>45709</v>
      </c>
      <c r="I17" t="s">
        <v>15</v>
      </c>
      <c r="J17" t="s">
        <v>16</v>
      </c>
      <c r="K1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8" spans="1:11" x14ac:dyDescent="0.75">
      <c r="A18" t="s">
        <v>45</v>
      </c>
      <c r="B18" t="s">
        <v>18</v>
      </c>
      <c r="C18" t="s">
        <v>24</v>
      </c>
      <c r="D18" t="s">
        <v>31</v>
      </c>
      <c r="E18" t="s">
        <v>13</v>
      </c>
      <c r="F18" t="s">
        <v>14</v>
      </c>
      <c r="G18">
        <v>550000</v>
      </c>
      <c r="H18" s="1">
        <v>45709</v>
      </c>
      <c r="I18" t="s">
        <v>15</v>
      </c>
      <c r="J18" t="s">
        <v>16</v>
      </c>
      <c r="K1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19" spans="1:11" x14ac:dyDescent="0.75">
      <c r="A19" t="s">
        <v>46</v>
      </c>
      <c r="B19" t="s">
        <v>18</v>
      </c>
      <c r="C19" t="s">
        <v>47</v>
      </c>
      <c r="D19" t="s">
        <v>29</v>
      </c>
      <c r="E19" t="s">
        <v>14</v>
      </c>
      <c r="F19" t="s">
        <v>24</v>
      </c>
      <c r="G19">
        <v>1305000</v>
      </c>
      <c r="H19" s="1">
        <v>45708</v>
      </c>
      <c r="I19" t="s">
        <v>15</v>
      </c>
      <c r="J19" t="s">
        <v>16</v>
      </c>
      <c r="K1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0" spans="1:11" x14ac:dyDescent="0.75">
      <c r="A20" t="s">
        <v>48</v>
      </c>
      <c r="B20" t="s">
        <v>11</v>
      </c>
      <c r="C20" t="s">
        <v>49</v>
      </c>
      <c r="D20" t="s">
        <v>13</v>
      </c>
      <c r="E20" t="s">
        <v>13</v>
      </c>
      <c r="F20" t="s">
        <v>14</v>
      </c>
      <c r="G20">
        <v>715000</v>
      </c>
      <c r="H20" s="1">
        <v>45707</v>
      </c>
      <c r="I20" t="s">
        <v>15</v>
      </c>
      <c r="J20" t="s">
        <v>16</v>
      </c>
      <c r="K2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700K-800K</v>
      </c>
    </row>
    <row r="21" spans="1:11" x14ac:dyDescent="0.75">
      <c r="A21" t="s">
        <v>50</v>
      </c>
      <c r="B21" t="s">
        <v>18</v>
      </c>
      <c r="C21" t="s">
        <v>22</v>
      </c>
      <c r="D21" t="s">
        <v>13</v>
      </c>
      <c r="E21" t="s">
        <v>14</v>
      </c>
      <c r="F21" t="s">
        <v>14</v>
      </c>
      <c r="G21">
        <v>1030000</v>
      </c>
      <c r="H21" s="1">
        <v>45705</v>
      </c>
      <c r="I21" t="s">
        <v>15</v>
      </c>
      <c r="J21" t="s">
        <v>16</v>
      </c>
      <c r="K2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2" spans="1:11" x14ac:dyDescent="0.75">
      <c r="A22" t="s">
        <v>51</v>
      </c>
      <c r="B22" t="s">
        <v>11</v>
      </c>
      <c r="C22" t="s">
        <v>24</v>
      </c>
      <c r="D22" t="s">
        <v>14</v>
      </c>
      <c r="E22" t="s">
        <v>14</v>
      </c>
      <c r="F22" t="s">
        <v>14</v>
      </c>
      <c r="G22">
        <v>415000</v>
      </c>
      <c r="H22" s="1">
        <v>45705</v>
      </c>
      <c r="I22" t="s">
        <v>15</v>
      </c>
      <c r="J22" t="s">
        <v>16</v>
      </c>
      <c r="K2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23" spans="1:11" x14ac:dyDescent="0.75">
      <c r="A23" t="s">
        <v>52</v>
      </c>
      <c r="B23" t="s">
        <v>11</v>
      </c>
      <c r="C23" t="s">
        <v>53</v>
      </c>
      <c r="D23" t="s">
        <v>31</v>
      </c>
      <c r="E23" t="s">
        <v>29</v>
      </c>
      <c r="F23" t="s">
        <v>24</v>
      </c>
      <c r="G23">
        <v>1120000</v>
      </c>
      <c r="H23" s="1">
        <v>45705</v>
      </c>
      <c r="I23" t="s">
        <v>15</v>
      </c>
      <c r="J23" t="s">
        <v>16</v>
      </c>
      <c r="K2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4" spans="1:11" x14ac:dyDescent="0.75">
      <c r="A24" t="s">
        <v>54</v>
      </c>
      <c r="B24" t="s">
        <v>18</v>
      </c>
      <c r="C24" t="s">
        <v>22</v>
      </c>
      <c r="D24" t="s">
        <v>29</v>
      </c>
      <c r="E24" t="s">
        <v>29</v>
      </c>
      <c r="F24" t="s">
        <v>14</v>
      </c>
      <c r="G24">
        <v>1905000</v>
      </c>
      <c r="H24" s="1">
        <v>45702</v>
      </c>
      <c r="I24" t="s">
        <v>15</v>
      </c>
      <c r="J24" t="s">
        <v>16</v>
      </c>
      <c r="K2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5" spans="1:11" x14ac:dyDescent="0.75">
      <c r="A25" t="s">
        <v>55</v>
      </c>
      <c r="B25" t="s">
        <v>11</v>
      </c>
      <c r="C25" t="s">
        <v>56</v>
      </c>
      <c r="D25" t="s">
        <v>29</v>
      </c>
      <c r="E25" t="s">
        <v>13</v>
      </c>
      <c r="F25" t="s">
        <v>24</v>
      </c>
      <c r="G25">
        <v>700000</v>
      </c>
      <c r="H25" s="1">
        <v>45702</v>
      </c>
      <c r="I25" t="s">
        <v>15</v>
      </c>
      <c r="J25" t="s">
        <v>16</v>
      </c>
      <c r="K2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26" spans="1:11" x14ac:dyDescent="0.75">
      <c r="A26" t="s">
        <v>57</v>
      </c>
      <c r="B26" t="s">
        <v>18</v>
      </c>
      <c r="C26" t="s">
        <v>22</v>
      </c>
      <c r="D26" t="s">
        <v>13</v>
      </c>
      <c r="E26" t="s">
        <v>14</v>
      </c>
      <c r="F26" t="s">
        <v>14</v>
      </c>
      <c r="G26">
        <v>370000</v>
      </c>
      <c r="H26" s="1">
        <v>45702</v>
      </c>
      <c r="I26" t="s">
        <v>15</v>
      </c>
      <c r="J26" t="s">
        <v>16</v>
      </c>
      <c r="K2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300K-400K</v>
      </c>
    </row>
    <row r="27" spans="1:11" x14ac:dyDescent="0.75">
      <c r="A27" t="s">
        <v>58</v>
      </c>
      <c r="B27" t="s">
        <v>18</v>
      </c>
      <c r="C27" t="s">
        <v>41</v>
      </c>
      <c r="D27" t="s">
        <v>20</v>
      </c>
      <c r="E27" t="s">
        <v>13</v>
      </c>
      <c r="F27" t="s">
        <v>14</v>
      </c>
      <c r="G27">
        <v>1905000</v>
      </c>
      <c r="H27" s="1">
        <v>45701</v>
      </c>
      <c r="I27" t="s">
        <v>15</v>
      </c>
      <c r="J27" t="s">
        <v>16</v>
      </c>
      <c r="K2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8" spans="1:11" x14ac:dyDescent="0.75">
      <c r="A28" t="s">
        <v>59</v>
      </c>
      <c r="B28" t="s">
        <v>18</v>
      </c>
      <c r="C28" t="s">
        <v>24</v>
      </c>
      <c r="D28" t="s">
        <v>13</v>
      </c>
      <c r="E28" t="s">
        <v>13</v>
      </c>
      <c r="F28" t="s">
        <v>14</v>
      </c>
      <c r="G28">
        <v>650000</v>
      </c>
      <c r="H28" s="1">
        <v>45701</v>
      </c>
      <c r="I28" t="s">
        <v>15</v>
      </c>
      <c r="J28" t="s">
        <v>16</v>
      </c>
      <c r="K2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29" spans="1:11" x14ac:dyDescent="0.75">
      <c r="A29" t="s">
        <v>60</v>
      </c>
      <c r="B29" t="s">
        <v>11</v>
      </c>
      <c r="C29" t="s">
        <v>26</v>
      </c>
      <c r="D29" t="s">
        <v>13</v>
      </c>
      <c r="E29" t="s">
        <v>14</v>
      </c>
      <c r="F29" t="s">
        <v>14</v>
      </c>
      <c r="G29">
        <v>475000</v>
      </c>
      <c r="H29" s="1">
        <v>45701</v>
      </c>
      <c r="I29" t="s">
        <v>15</v>
      </c>
      <c r="J29" t="s">
        <v>16</v>
      </c>
      <c r="K2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30" spans="1:11" x14ac:dyDescent="0.75">
      <c r="A30" t="s">
        <v>61</v>
      </c>
      <c r="B30" t="s">
        <v>18</v>
      </c>
      <c r="C30" t="s">
        <v>22</v>
      </c>
      <c r="D30" t="s">
        <v>29</v>
      </c>
      <c r="E30" t="s">
        <v>14</v>
      </c>
      <c r="F30" t="s">
        <v>14</v>
      </c>
      <c r="G30">
        <v>1280000</v>
      </c>
      <c r="H30" s="1">
        <v>45700</v>
      </c>
      <c r="I30" t="s">
        <v>15</v>
      </c>
      <c r="J30" t="s">
        <v>16</v>
      </c>
      <c r="K3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1" spans="1:11" x14ac:dyDescent="0.75">
      <c r="A31" t="s">
        <v>62</v>
      </c>
      <c r="B31" t="s">
        <v>18</v>
      </c>
      <c r="C31" t="s">
        <v>63</v>
      </c>
      <c r="D31" t="s">
        <v>24</v>
      </c>
      <c r="E31" t="s">
        <v>24</v>
      </c>
      <c r="F31" t="s">
        <v>24</v>
      </c>
      <c r="G31">
        <v>8500000</v>
      </c>
      <c r="H31" s="1">
        <v>45700</v>
      </c>
      <c r="I31" t="s">
        <v>15</v>
      </c>
      <c r="J31" t="s">
        <v>16</v>
      </c>
      <c r="K3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2" spans="1:11" x14ac:dyDescent="0.75">
      <c r="A32" t="s">
        <v>64</v>
      </c>
      <c r="B32" t="s">
        <v>18</v>
      </c>
      <c r="C32" t="s">
        <v>24</v>
      </c>
      <c r="D32" t="s">
        <v>29</v>
      </c>
      <c r="E32" t="s">
        <v>14</v>
      </c>
      <c r="F32" t="s">
        <v>24</v>
      </c>
      <c r="G32">
        <v>8500000</v>
      </c>
      <c r="H32" s="1">
        <v>45700</v>
      </c>
      <c r="I32" t="s">
        <v>15</v>
      </c>
      <c r="J32" t="s">
        <v>16</v>
      </c>
      <c r="K3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3" spans="1:11" x14ac:dyDescent="0.75">
      <c r="A33" t="s">
        <v>65</v>
      </c>
      <c r="B33" t="s">
        <v>11</v>
      </c>
      <c r="C33" t="s">
        <v>24</v>
      </c>
      <c r="D33" t="s">
        <v>13</v>
      </c>
      <c r="E33" t="s">
        <v>14</v>
      </c>
      <c r="F33" t="s">
        <v>14</v>
      </c>
      <c r="G33">
        <v>428000</v>
      </c>
      <c r="H33" s="1">
        <v>45698</v>
      </c>
      <c r="I33" t="s">
        <v>15</v>
      </c>
      <c r="J33" t="s">
        <v>16</v>
      </c>
      <c r="K3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34" spans="1:11" x14ac:dyDescent="0.75">
      <c r="A34" t="s">
        <v>66</v>
      </c>
      <c r="B34" t="s">
        <v>11</v>
      </c>
      <c r="C34" t="s">
        <v>67</v>
      </c>
      <c r="D34" t="s">
        <v>13</v>
      </c>
      <c r="E34" t="s">
        <v>13</v>
      </c>
      <c r="F34" t="s">
        <v>13</v>
      </c>
      <c r="G34">
        <v>570000</v>
      </c>
      <c r="H34" s="1">
        <v>45698</v>
      </c>
      <c r="I34" t="s">
        <v>15</v>
      </c>
      <c r="J34" t="s">
        <v>16</v>
      </c>
      <c r="K3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35" spans="1:11" x14ac:dyDescent="0.75">
      <c r="A35" t="s">
        <v>68</v>
      </c>
      <c r="B35" t="s">
        <v>11</v>
      </c>
      <c r="C35" t="s">
        <v>24</v>
      </c>
      <c r="D35" t="s">
        <v>13</v>
      </c>
      <c r="E35" t="s">
        <v>13</v>
      </c>
      <c r="F35" t="s">
        <v>24</v>
      </c>
      <c r="G35">
        <v>490000</v>
      </c>
      <c r="H35" s="1">
        <v>45695</v>
      </c>
      <c r="I35" t="s">
        <v>15</v>
      </c>
      <c r="J35" t="s">
        <v>16</v>
      </c>
      <c r="K3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36" spans="1:11" x14ac:dyDescent="0.75">
      <c r="A36" t="s">
        <v>69</v>
      </c>
      <c r="B36" t="s">
        <v>18</v>
      </c>
      <c r="C36" t="s">
        <v>22</v>
      </c>
      <c r="D36" t="s">
        <v>20</v>
      </c>
      <c r="E36" t="s">
        <v>29</v>
      </c>
      <c r="F36" t="s">
        <v>13</v>
      </c>
      <c r="G36">
        <v>2400000</v>
      </c>
      <c r="H36" s="1">
        <v>45695</v>
      </c>
      <c r="I36" t="s">
        <v>15</v>
      </c>
      <c r="J36" t="s">
        <v>16</v>
      </c>
      <c r="K3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7" spans="1:11" x14ac:dyDescent="0.75">
      <c r="A37" t="s">
        <v>70</v>
      </c>
      <c r="B37" t="s">
        <v>11</v>
      </c>
      <c r="C37" t="s">
        <v>71</v>
      </c>
      <c r="D37" t="s">
        <v>13</v>
      </c>
      <c r="E37" t="s">
        <v>13</v>
      </c>
      <c r="F37" t="s">
        <v>24</v>
      </c>
      <c r="G37">
        <v>642500</v>
      </c>
      <c r="H37" s="1">
        <v>45695</v>
      </c>
      <c r="I37" t="s">
        <v>15</v>
      </c>
      <c r="J37" t="s">
        <v>16</v>
      </c>
      <c r="K3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38" spans="1:11" x14ac:dyDescent="0.75">
      <c r="A38" t="s">
        <v>72</v>
      </c>
      <c r="B38" t="s">
        <v>11</v>
      </c>
      <c r="C38" t="s">
        <v>24</v>
      </c>
      <c r="D38" t="s">
        <v>14</v>
      </c>
      <c r="E38" t="s">
        <v>14</v>
      </c>
      <c r="F38" t="s">
        <v>24</v>
      </c>
      <c r="G38">
        <v>537000</v>
      </c>
      <c r="H38" s="1">
        <v>45694</v>
      </c>
      <c r="I38" t="s">
        <v>15</v>
      </c>
      <c r="J38" t="s">
        <v>16</v>
      </c>
      <c r="K3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39" spans="1:11" x14ac:dyDescent="0.75">
      <c r="A39" t="s">
        <v>73</v>
      </c>
      <c r="B39" t="s">
        <v>11</v>
      </c>
      <c r="C39" t="s">
        <v>24</v>
      </c>
      <c r="D39" t="s">
        <v>24</v>
      </c>
      <c r="E39" t="s">
        <v>24</v>
      </c>
      <c r="F39" t="s">
        <v>13</v>
      </c>
      <c r="G39">
        <v>1580000</v>
      </c>
      <c r="H39" s="1">
        <v>45693</v>
      </c>
      <c r="I39" t="s">
        <v>15</v>
      </c>
      <c r="J39" t="s">
        <v>16</v>
      </c>
      <c r="K3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40" spans="1:11" x14ac:dyDescent="0.75">
      <c r="A40" t="s">
        <v>74</v>
      </c>
      <c r="B40" t="s">
        <v>11</v>
      </c>
      <c r="C40" t="s">
        <v>24</v>
      </c>
      <c r="D40" t="s">
        <v>31</v>
      </c>
      <c r="E40" t="s">
        <v>13</v>
      </c>
      <c r="F40" t="s">
        <v>13</v>
      </c>
      <c r="G40">
        <v>170000</v>
      </c>
      <c r="H40" s="1">
        <v>45693</v>
      </c>
      <c r="I40" t="s">
        <v>15</v>
      </c>
      <c r="J40" t="s">
        <v>16</v>
      </c>
      <c r="K40">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0</v>
      </c>
    </row>
    <row r="41" spans="1:11" x14ac:dyDescent="0.75">
      <c r="A41" t="s">
        <v>75</v>
      </c>
      <c r="B41" t="s">
        <v>18</v>
      </c>
      <c r="C41" t="s">
        <v>76</v>
      </c>
      <c r="D41" t="s">
        <v>29</v>
      </c>
      <c r="E41" t="s">
        <v>29</v>
      </c>
      <c r="F41" t="s">
        <v>14</v>
      </c>
      <c r="G41">
        <v>1360000</v>
      </c>
      <c r="H41" s="1">
        <v>45693</v>
      </c>
      <c r="I41" t="s">
        <v>15</v>
      </c>
      <c r="J41" t="s">
        <v>16</v>
      </c>
      <c r="K4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42" spans="1:11" x14ac:dyDescent="0.75">
      <c r="A42" t="s">
        <v>77</v>
      </c>
      <c r="B42" t="s">
        <v>11</v>
      </c>
      <c r="C42" t="s">
        <v>22</v>
      </c>
      <c r="D42" t="s">
        <v>29</v>
      </c>
      <c r="E42" t="s">
        <v>13</v>
      </c>
      <c r="F42" t="s">
        <v>14</v>
      </c>
      <c r="G42">
        <v>659000</v>
      </c>
      <c r="H42" s="1">
        <v>45693</v>
      </c>
      <c r="I42" t="s">
        <v>15</v>
      </c>
      <c r="J42" t="s">
        <v>16</v>
      </c>
      <c r="K4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43" spans="1:11" x14ac:dyDescent="0.75">
      <c r="A43" t="s">
        <v>78</v>
      </c>
      <c r="B43" t="s">
        <v>11</v>
      </c>
      <c r="C43" t="s">
        <v>79</v>
      </c>
      <c r="D43" t="s">
        <v>14</v>
      </c>
      <c r="E43" t="s">
        <v>14</v>
      </c>
      <c r="F43" t="s">
        <v>14</v>
      </c>
      <c r="G43">
        <v>365000</v>
      </c>
      <c r="H43" s="1">
        <v>45691</v>
      </c>
      <c r="I43" t="s">
        <v>15</v>
      </c>
      <c r="J43" t="s">
        <v>16</v>
      </c>
      <c r="K4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300K-400K</v>
      </c>
    </row>
    <row r="44" spans="1:11" x14ac:dyDescent="0.75">
      <c r="A44" t="s">
        <v>80</v>
      </c>
      <c r="B44" t="s">
        <v>11</v>
      </c>
      <c r="C44" t="s">
        <v>22</v>
      </c>
      <c r="D44" t="s">
        <v>14</v>
      </c>
      <c r="E44" t="s">
        <v>14</v>
      </c>
      <c r="F44" t="s">
        <v>14</v>
      </c>
      <c r="G44">
        <v>418000</v>
      </c>
      <c r="H44" s="1">
        <v>45691</v>
      </c>
      <c r="I44" t="s">
        <v>15</v>
      </c>
      <c r="J44" t="s">
        <v>16</v>
      </c>
      <c r="K4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45" spans="1:11" x14ac:dyDescent="0.75">
      <c r="A45" t="s">
        <v>81</v>
      </c>
      <c r="B45" t="s">
        <v>11</v>
      </c>
      <c r="C45" t="s">
        <v>82</v>
      </c>
      <c r="D45" t="s">
        <v>29</v>
      </c>
      <c r="E45" t="s">
        <v>13</v>
      </c>
      <c r="F45" t="s">
        <v>14</v>
      </c>
      <c r="G45">
        <v>875000</v>
      </c>
      <c r="H45" s="1">
        <v>45691</v>
      </c>
      <c r="I45" t="s">
        <v>15</v>
      </c>
      <c r="J45" t="s">
        <v>16</v>
      </c>
      <c r="K4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800K-900K</v>
      </c>
    </row>
    <row r="46" spans="1:11" x14ac:dyDescent="0.75">
      <c r="A46" t="s">
        <v>83</v>
      </c>
      <c r="B46" t="s">
        <v>11</v>
      </c>
      <c r="C46" t="s">
        <v>41</v>
      </c>
      <c r="D46" t="s">
        <v>13</v>
      </c>
      <c r="E46" t="s">
        <v>14</v>
      </c>
      <c r="F46" t="s">
        <v>14</v>
      </c>
      <c r="G46">
        <v>420000</v>
      </c>
      <c r="H46" s="1">
        <v>45691</v>
      </c>
      <c r="I46" t="s">
        <v>15</v>
      </c>
      <c r="J46" t="s">
        <v>16</v>
      </c>
      <c r="K4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47" spans="1:11" x14ac:dyDescent="0.75">
      <c r="A47" t="s">
        <v>84</v>
      </c>
      <c r="B47" t="s">
        <v>11</v>
      </c>
      <c r="C47" t="s">
        <v>85</v>
      </c>
      <c r="D47" t="s">
        <v>13</v>
      </c>
      <c r="E47" t="s">
        <v>14</v>
      </c>
      <c r="F47" t="s">
        <v>24</v>
      </c>
      <c r="G47">
        <v>568000</v>
      </c>
      <c r="H47" s="1">
        <v>45689</v>
      </c>
      <c r="I47" t="s">
        <v>15</v>
      </c>
      <c r="J47" t="s">
        <v>16</v>
      </c>
      <c r="K4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48" spans="1:11" x14ac:dyDescent="0.75">
      <c r="A48" t="s">
        <v>86</v>
      </c>
      <c r="B48" t="s">
        <v>18</v>
      </c>
      <c r="C48" t="s">
        <v>87</v>
      </c>
      <c r="D48" t="s">
        <v>29</v>
      </c>
      <c r="E48" t="s">
        <v>14</v>
      </c>
      <c r="F48" t="s">
        <v>13</v>
      </c>
      <c r="G48">
        <v>1202000</v>
      </c>
      <c r="H48" s="1">
        <v>45688</v>
      </c>
      <c r="I48" t="s">
        <v>15</v>
      </c>
      <c r="J48" t="s">
        <v>16</v>
      </c>
      <c r="K4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49" spans="1:11" x14ac:dyDescent="0.75">
      <c r="A49" t="s">
        <v>88</v>
      </c>
      <c r="B49" t="s">
        <v>11</v>
      </c>
      <c r="C49" t="s">
        <v>26</v>
      </c>
      <c r="D49" t="s">
        <v>13</v>
      </c>
      <c r="E49" t="s">
        <v>14</v>
      </c>
      <c r="F49" t="s">
        <v>24</v>
      </c>
      <c r="G49">
        <v>478888</v>
      </c>
      <c r="H49" s="1">
        <v>45688</v>
      </c>
      <c r="I49" t="s">
        <v>15</v>
      </c>
      <c r="J49" t="s">
        <v>16</v>
      </c>
      <c r="K4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50" spans="1:11" x14ac:dyDescent="0.75">
      <c r="A50" t="s">
        <v>89</v>
      </c>
      <c r="B50" t="s">
        <v>18</v>
      </c>
      <c r="C50" t="s">
        <v>90</v>
      </c>
      <c r="D50" t="s">
        <v>29</v>
      </c>
      <c r="E50" t="s">
        <v>14</v>
      </c>
      <c r="F50" t="s">
        <v>14</v>
      </c>
      <c r="G50">
        <v>1700000</v>
      </c>
      <c r="H50" s="1">
        <v>45688</v>
      </c>
      <c r="I50" t="s">
        <v>15</v>
      </c>
      <c r="J50" t="s">
        <v>16</v>
      </c>
      <c r="K5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51" spans="1:11" x14ac:dyDescent="0.75">
      <c r="A51" t="s">
        <v>91</v>
      </c>
      <c r="B51" t="s">
        <v>18</v>
      </c>
      <c r="C51" t="s">
        <v>92</v>
      </c>
      <c r="D51" t="s">
        <v>31</v>
      </c>
      <c r="E51" t="s">
        <v>14</v>
      </c>
      <c r="F51" t="s">
        <v>14</v>
      </c>
      <c r="G51">
        <v>1800000</v>
      </c>
      <c r="H51" s="1">
        <v>45688</v>
      </c>
      <c r="I51" t="s">
        <v>15</v>
      </c>
      <c r="J51" t="s">
        <v>16</v>
      </c>
      <c r="K5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52" spans="1:11" x14ac:dyDescent="0.75">
      <c r="A52" t="s">
        <v>93</v>
      </c>
      <c r="B52" t="s">
        <v>11</v>
      </c>
      <c r="C52" t="s">
        <v>26</v>
      </c>
      <c r="D52" t="s">
        <v>13</v>
      </c>
      <c r="E52" t="s">
        <v>14</v>
      </c>
      <c r="F52" t="s">
        <v>24</v>
      </c>
      <c r="G52">
        <v>450000</v>
      </c>
      <c r="H52" s="1">
        <v>45688</v>
      </c>
      <c r="I52" t="s">
        <v>15</v>
      </c>
      <c r="J52" t="s">
        <v>16</v>
      </c>
      <c r="K5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53" spans="1:11" x14ac:dyDescent="0.75">
      <c r="A53" t="s">
        <v>94</v>
      </c>
      <c r="B53" t="s">
        <v>18</v>
      </c>
      <c r="C53" t="s">
        <v>95</v>
      </c>
      <c r="D53" t="s">
        <v>13</v>
      </c>
      <c r="E53" t="s">
        <v>13</v>
      </c>
      <c r="F53" t="s">
        <v>24</v>
      </c>
      <c r="G53">
        <v>570000</v>
      </c>
      <c r="H53" s="1">
        <v>45685</v>
      </c>
      <c r="I53" t="s">
        <v>15</v>
      </c>
      <c r="J53" t="s">
        <v>16</v>
      </c>
      <c r="K5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54" spans="1:11" x14ac:dyDescent="0.75">
      <c r="A54" t="s">
        <v>96</v>
      </c>
      <c r="B54" t="s">
        <v>18</v>
      </c>
      <c r="C54" t="s">
        <v>24</v>
      </c>
      <c r="D54" t="s">
        <v>31</v>
      </c>
      <c r="E54" t="s">
        <v>13</v>
      </c>
      <c r="F54" t="s">
        <v>13</v>
      </c>
      <c r="G54">
        <v>1470000</v>
      </c>
      <c r="H54" s="1">
        <v>45685</v>
      </c>
      <c r="I54" t="s">
        <v>15</v>
      </c>
      <c r="J54" t="s">
        <v>16</v>
      </c>
      <c r="K5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55" spans="1:11" x14ac:dyDescent="0.75">
      <c r="A55" t="s">
        <v>97</v>
      </c>
      <c r="B55" t="s">
        <v>11</v>
      </c>
      <c r="C55" t="s">
        <v>24</v>
      </c>
      <c r="D55" t="s">
        <v>13</v>
      </c>
      <c r="E55" t="s">
        <v>13</v>
      </c>
      <c r="F55" t="s">
        <v>24</v>
      </c>
      <c r="G55">
        <v>635000</v>
      </c>
      <c r="H55" s="1">
        <v>45685</v>
      </c>
      <c r="I55" t="s">
        <v>15</v>
      </c>
      <c r="J55" t="s">
        <v>16</v>
      </c>
      <c r="K5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56" spans="1:11" x14ac:dyDescent="0.75">
      <c r="A56" t="s">
        <v>98</v>
      </c>
      <c r="B56" t="s">
        <v>11</v>
      </c>
      <c r="C56" t="s">
        <v>99</v>
      </c>
      <c r="D56" t="s">
        <v>13</v>
      </c>
      <c r="E56" t="s">
        <v>14</v>
      </c>
      <c r="F56" t="s">
        <v>24</v>
      </c>
      <c r="G56">
        <v>458000</v>
      </c>
      <c r="H56" s="1">
        <v>45681</v>
      </c>
      <c r="I56" t="s">
        <v>15</v>
      </c>
      <c r="J56" t="s">
        <v>16</v>
      </c>
      <c r="K5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57" spans="1:11" x14ac:dyDescent="0.75">
      <c r="A57" t="s">
        <v>100</v>
      </c>
      <c r="B57" t="s">
        <v>11</v>
      </c>
      <c r="C57" t="s">
        <v>19</v>
      </c>
      <c r="D57" t="s">
        <v>13</v>
      </c>
      <c r="E57" t="s">
        <v>14</v>
      </c>
      <c r="F57" t="s">
        <v>14</v>
      </c>
      <c r="G57">
        <v>467000</v>
      </c>
      <c r="H57" s="1">
        <v>45681</v>
      </c>
      <c r="I57" t="s">
        <v>15</v>
      </c>
      <c r="J57" t="s">
        <v>16</v>
      </c>
      <c r="K5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58" spans="1:11" x14ac:dyDescent="0.75">
      <c r="A58" t="s">
        <v>101</v>
      </c>
      <c r="B58" t="s">
        <v>11</v>
      </c>
      <c r="C58" t="s">
        <v>19</v>
      </c>
      <c r="D58" t="s">
        <v>13</v>
      </c>
      <c r="E58" t="s">
        <v>14</v>
      </c>
      <c r="F58" t="s">
        <v>14</v>
      </c>
      <c r="G58">
        <v>495000</v>
      </c>
      <c r="H58" s="1">
        <v>45681</v>
      </c>
      <c r="I58" t="s">
        <v>15</v>
      </c>
      <c r="J58" t="s">
        <v>16</v>
      </c>
      <c r="K5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59" spans="1:11" x14ac:dyDescent="0.75">
      <c r="A59" t="s">
        <v>102</v>
      </c>
      <c r="B59" t="s">
        <v>11</v>
      </c>
      <c r="C59" t="s">
        <v>22</v>
      </c>
      <c r="D59" t="s">
        <v>13</v>
      </c>
      <c r="E59" t="s">
        <v>14</v>
      </c>
      <c r="F59" t="s">
        <v>14</v>
      </c>
      <c r="G59">
        <v>370000</v>
      </c>
      <c r="H59" s="1">
        <v>45680</v>
      </c>
      <c r="I59" t="s">
        <v>15</v>
      </c>
      <c r="J59" t="s">
        <v>16</v>
      </c>
      <c r="K5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300K-400K</v>
      </c>
    </row>
    <row r="60" spans="1:11" x14ac:dyDescent="0.75">
      <c r="A60" t="s">
        <v>103</v>
      </c>
      <c r="B60" t="s">
        <v>18</v>
      </c>
      <c r="C60" t="s">
        <v>41</v>
      </c>
      <c r="D60" t="s">
        <v>20</v>
      </c>
      <c r="E60" t="s">
        <v>13</v>
      </c>
      <c r="F60" t="s">
        <v>13</v>
      </c>
      <c r="G60">
        <v>1416000</v>
      </c>
      <c r="H60" s="1">
        <v>45679</v>
      </c>
      <c r="I60" t="s">
        <v>15</v>
      </c>
      <c r="J60" t="s">
        <v>16</v>
      </c>
      <c r="K6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61" spans="1:11" x14ac:dyDescent="0.75">
      <c r="A61" t="s">
        <v>104</v>
      </c>
      <c r="B61" t="s">
        <v>18</v>
      </c>
      <c r="C61" t="s">
        <v>105</v>
      </c>
      <c r="D61" t="s">
        <v>31</v>
      </c>
      <c r="E61" t="s">
        <v>13</v>
      </c>
      <c r="F61" t="s">
        <v>24</v>
      </c>
      <c r="G61">
        <v>1830000</v>
      </c>
      <c r="H61" s="1">
        <v>45679</v>
      </c>
      <c r="I61" t="s">
        <v>15</v>
      </c>
      <c r="J61" t="s">
        <v>16</v>
      </c>
      <c r="K6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62" spans="1:11" x14ac:dyDescent="0.75">
      <c r="A62" t="s">
        <v>106</v>
      </c>
      <c r="B62" t="s">
        <v>11</v>
      </c>
      <c r="C62" t="s">
        <v>107</v>
      </c>
      <c r="D62" t="s">
        <v>29</v>
      </c>
      <c r="E62" t="s">
        <v>13</v>
      </c>
      <c r="F62" t="s">
        <v>13</v>
      </c>
      <c r="G62">
        <v>875000</v>
      </c>
      <c r="H62" s="1">
        <v>45679</v>
      </c>
      <c r="I62" t="s">
        <v>15</v>
      </c>
      <c r="J62" t="s">
        <v>16</v>
      </c>
      <c r="K6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800K-900K</v>
      </c>
    </row>
    <row r="63" spans="1:11" x14ac:dyDescent="0.75">
      <c r="A63" t="s">
        <v>108</v>
      </c>
      <c r="B63" t="s">
        <v>11</v>
      </c>
      <c r="C63" t="s">
        <v>24</v>
      </c>
      <c r="D63" t="s">
        <v>13</v>
      </c>
      <c r="E63" t="s">
        <v>13</v>
      </c>
      <c r="F63" t="s">
        <v>24</v>
      </c>
      <c r="G63">
        <v>668000</v>
      </c>
      <c r="H63" s="1">
        <v>45678</v>
      </c>
      <c r="I63" t="s">
        <v>15</v>
      </c>
      <c r="J63" t="s">
        <v>16</v>
      </c>
      <c r="K6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64" spans="1:11" x14ac:dyDescent="0.75">
      <c r="A64" t="s">
        <v>109</v>
      </c>
      <c r="B64" t="s">
        <v>11</v>
      </c>
      <c r="C64" t="s">
        <v>24</v>
      </c>
      <c r="D64" t="s">
        <v>29</v>
      </c>
      <c r="E64" t="s">
        <v>13</v>
      </c>
      <c r="F64" t="s">
        <v>13</v>
      </c>
      <c r="G64">
        <v>629000</v>
      </c>
      <c r="H64" s="1">
        <v>45678</v>
      </c>
      <c r="I64" t="s">
        <v>15</v>
      </c>
      <c r="J64" t="s">
        <v>16</v>
      </c>
      <c r="K6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65" spans="1:11" x14ac:dyDescent="0.75">
      <c r="A65" t="s">
        <v>110</v>
      </c>
      <c r="B65" t="s">
        <v>11</v>
      </c>
      <c r="C65" t="s">
        <v>22</v>
      </c>
      <c r="D65" t="s">
        <v>29</v>
      </c>
      <c r="E65" t="s">
        <v>13</v>
      </c>
      <c r="F65" t="s">
        <v>13</v>
      </c>
      <c r="G65">
        <v>875000</v>
      </c>
      <c r="H65" s="1">
        <v>45677</v>
      </c>
      <c r="I65" t="s">
        <v>15</v>
      </c>
      <c r="J65" t="s">
        <v>16</v>
      </c>
      <c r="K6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800K-900K</v>
      </c>
    </row>
    <row r="66" spans="1:11" x14ac:dyDescent="0.75">
      <c r="A66" t="s">
        <v>111</v>
      </c>
      <c r="B66" t="s">
        <v>18</v>
      </c>
      <c r="C66" t="s">
        <v>41</v>
      </c>
      <c r="D66" t="s">
        <v>29</v>
      </c>
      <c r="E66" t="s">
        <v>13</v>
      </c>
      <c r="F66" t="s">
        <v>24</v>
      </c>
      <c r="G66">
        <v>1620000</v>
      </c>
      <c r="H66" s="1">
        <v>45677</v>
      </c>
      <c r="I66" t="s">
        <v>15</v>
      </c>
      <c r="J66" t="s">
        <v>16</v>
      </c>
      <c r="K6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67" spans="1:11" x14ac:dyDescent="0.75">
      <c r="A67" t="s">
        <v>112</v>
      </c>
      <c r="B67" t="s">
        <v>11</v>
      </c>
      <c r="C67" t="s">
        <v>113</v>
      </c>
      <c r="D67" t="s">
        <v>13</v>
      </c>
      <c r="E67" t="s">
        <v>14</v>
      </c>
      <c r="F67" t="s">
        <v>14</v>
      </c>
      <c r="G67">
        <v>596000</v>
      </c>
      <c r="H67" s="1">
        <v>45677</v>
      </c>
      <c r="I67" t="s">
        <v>15</v>
      </c>
      <c r="J67" t="s">
        <v>16</v>
      </c>
      <c r="K6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68" spans="1:11" x14ac:dyDescent="0.75">
      <c r="A68" t="s">
        <v>114</v>
      </c>
      <c r="B68" t="s">
        <v>11</v>
      </c>
      <c r="C68" t="s">
        <v>24</v>
      </c>
      <c r="D68" t="s">
        <v>13</v>
      </c>
      <c r="E68" t="s">
        <v>13</v>
      </c>
      <c r="F68" t="s">
        <v>14</v>
      </c>
      <c r="G68">
        <v>522000</v>
      </c>
      <c r="H68" s="1">
        <v>45677</v>
      </c>
      <c r="I68" t="s">
        <v>15</v>
      </c>
      <c r="J68" t="s">
        <v>16</v>
      </c>
      <c r="K6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69" spans="1:11" x14ac:dyDescent="0.75">
      <c r="A69" t="s">
        <v>115</v>
      </c>
      <c r="B69" t="s">
        <v>11</v>
      </c>
      <c r="C69" t="s">
        <v>99</v>
      </c>
      <c r="D69" t="s">
        <v>13</v>
      </c>
      <c r="E69" t="s">
        <v>13</v>
      </c>
      <c r="F69" t="s">
        <v>24</v>
      </c>
      <c r="G69">
        <v>550000</v>
      </c>
      <c r="H69" s="1">
        <v>45677</v>
      </c>
      <c r="I69" t="s">
        <v>15</v>
      </c>
      <c r="J69" t="s">
        <v>16</v>
      </c>
      <c r="K6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70" spans="1:11" x14ac:dyDescent="0.75">
      <c r="A70" t="s">
        <v>116</v>
      </c>
      <c r="B70" t="s">
        <v>11</v>
      </c>
      <c r="C70" t="s">
        <v>53</v>
      </c>
      <c r="D70" t="s">
        <v>29</v>
      </c>
      <c r="E70" t="s">
        <v>29</v>
      </c>
      <c r="F70" t="s">
        <v>13</v>
      </c>
      <c r="G70">
        <v>1035000</v>
      </c>
      <c r="H70" s="1">
        <v>45677</v>
      </c>
      <c r="I70" t="s">
        <v>15</v>
      </c>
      <c r="J70" t="s">
        <v>16</v>
      </c>
      <c r="K7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71" spans="1:11" x14ac:dyDescent="0.75">
      <c r="A71" t="s">
        <v>117</v>
      </c>
      <c r="B71" t="s">
        <v>11</v>
      </c>
      <c r="C71" t="s">
        <v>118</v>
      </c>
      <c r="D71" t="s">
        <v>13</v>
      </c>
      <c r="E71" t="s">
        <v>13</v>
      </c>
      <c r="F71" t="s">
        <v>24</v>
      </c>
      <c r="G71">
        <v>550000</v>
      </c>
      <c r="H71" s="1">
        <v>45674</v>
      </c>
      <c r="I71" t="s">
        <v>15</v>
      </c>
      <c r="J71" t="s">
        <v>16</v>
      </c>
      <c r="K7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72" spans="1:11" x14ac:dyDescent="0.75">
      <c r="A72" t="s">
        <v>119</v>
      </c>
      <c r="B72" t="s">
        <v>11</v>
      </c>
      <c r="C72" t="s">
        <v>41</v>
      </c>
      <c r="D72" t="s">
        <v>13</v>
      </c>
      <c r="E72" t="s">
        <v>14</v>
      </c>
      <c r="F72" t="s">
        <v>24</v>
      </c>
      <c r="G72">
        <v>365000</v>
      </c>
      <c r="H72" s="1">
        <v>45674</v>
      </c>
      <c r="I72" t="s">
        <v>15</v>
      </c>
      <c r="J72" t="s">
        <v>16</v>
      </c>
      <c r="K7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300K-400K</v>
      </c>
    </row>
    <row r="73" spans="1:11" x14ac:dyDescent="0.75">
      <c r="A73" t="s">
        <v>120</v>
      </c>
      <c r="B73" t="s">
        <v>11</v>
      </c>
      <c r="C73" t="s">
        <v>22</v>
      </c>
      <c r="D73" t="s">
        <v>13</v>
      </c>
      <c r="E73" t="s">
        <v>14</v>
      </c>
      <c r="F73" t="s">
        <v>14</v>
      </c>
      <c r="G73">
        <v>455000</v>
      </c>
      <c r="H73" s="1">
        <v>45674</v>
      </c>
      <c r="I73" t="s">
        <v>15</v>
      </c>
      <c r="J73" t="s">
        <v>16</v>
      </c>
      <c r="K7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74" spans="1:11" x14ac:dyDescent="0.75">
      <c r="A74" t="s">
        <v>121</v>
      </c>
      <c r="B74" t="s">
        <v>11</v>
      </c>
      <c r="C74" t="s">
        <v>24</v>
      </c>
      <c r="D74" t="s">
        <v>29</v>
      </c>
      <c r="E74" t="s">
        <v>13</v>
      </c>
      <c r="F74" t="s">
        <v>14</v>
      </c>
      <c r="G74">
        <v>40000</v>
      </c>
      <c r="H74" s="1">
        <v>45674</v>
      </c>
      <c r="I74" t="s">
        <v>15</v>
      </c>
      <c r="J74" t="s">
        <v>16</v>
      </c>
      <c r="K74">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0</v>
      </c>
    </row>
    <row r="75" spans="1:11" x14ac:dyDescent="0.75">
      <c r="A75" t="s">
        <v>122</v>
      </c>
      <c r="B75" t="s">
        <v>11</v>
      </c>
      <c r="C75" t="s">
        <v>24</v>
      </c>
      <c r="D75" t="s">
        <v>29</v>
      </c>
      <c r="E75" t="s">
        <v>29</v>
      </c>
      <c r="F75" t="s">
        <v>13</v>
      </c>
      <c r="G75">
        <v>650000</v>
      </c>
      <c r="H75" s="1">
        <v>45673</v>
      </c>
      <c r="I75" t="s">
        <v>15</v>
      </c>
      <c r="J75" t="s">
        <v>16</v>
      </c>
      <c r="K7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76" spans="1:11" x14ac:dyDescent="0.75">
      <c r="A76" t="s">
        <v>123</v>
      </c>
      <c r="B76" t="s">
        <v>18</v>
      </c>
      <c r="C76" t="s">
        <v>124</v>
      </c>
      <c r="D76" t="s">
        <v>29</v>
      </c>
      <c r="E76" t="s">
        <v>13</v>
      </c>
      <c r="F76" t="s">
        <v>14</v>
      </c>
      <c r="G76">
        <v>1260000</v>
      </c>
      <c r="H76" s="1">
        <v>45670</v>
      </c>
      <c r="I76" t="s">
        <v>15</v>
      </c>
      <c r="J76" t="s">
        <v>16</v>
      </c>
      <c r="K7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77" spans="1:11" x14ac:dyDescent="0.75">
      <c r="A77" t="s">
        <v>125</v>
      </c>
      <c r="B77" t="s">
        <v>11</v>
      </c>
      <c r="C77" t="s">
        <v>24</v>
      </c>
      <c r="D77" t="s">
        <v>29</v>
      </c>
      <c r="E77" t="s">
        <v>14</v>
      </c>
      <c r="F77" t="s">
        <v>14</v>
      </c>
      <c r="G77">
        <v>880000</v>
      </c>
      <c r="H77" s="1">
        <v>45670</v>
      </c>
      <c r="I77" t="s">
        <v>15</v>
      </c>
      <c r="J77" t="s">
        <v>16</v>
      </c>
      <c r="K7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800K-900K</v>
      </c>
    </row>
    <row r="78" spans="1:11" x14ac:dyDescent="0.75">
      <c r="A78" t="s">
        <v>126</v>
      </c>
      <c r="B78" t="s">
        <v>11</v>
      </c>
      <c r="C78" t="s">
        <v>24</v>
      </c>
      <c r="D78" t="s">
        <v>13</v>
      </c>
      <c r="E78" t="s">
        <v>13</v>
      </c>
      <c r="F78" t="s">
        <v>127</v>
      </c>
      <c r="G78">
        <v>615000</v>
      </c>
      <c r="H78" s="1">
        <v>45670</v>
      </c>
      <c r="I78" t="s">
        <v>15</v>
      </c>
      <c r="J78" t="s">
        <v>16</v>
      </c>
      <c r="K7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79" spans="1:11" x14ac:dyDescent="0.75">
      <c r="A79" t="s">
        <v>128</v>
      </c>
      <c r="B79" t="s">
        <v>18</v>
      </c>
      <c r="C79" t="s">
        <v>22</v>
      </c>
      <c r="D79" t="s">
        <v>29</v>
      </c>
      <c r="E79" t="s">
        <v>13</v>
      </c>
      <c r="F79" t="s">
        <v>13</v>
      </c>
      <c r="G79">
        <v>1100000</v>
      </c>
      <c r="H79" s="1">
        <v>45667</v>
      </c>
      <c r="I79" t="s">
        <v>15</v>
      </c>
      <c r="J79" t="s">
        <v>16</v>
      </c>
      <c r="K7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80" spans="1:11" x14ac:dyDescent="0.75">
      <c r="A80" t="s">
        <v>129</v>
      </c>
      <c r="B80" t="s">
        <v>11</v>
      </c>
      <c r="C80" t="s">
        <v>24</v>
      </c>
      <c r="D80" t="s">
        <v>13</v>
      </c>
      <c r="E80" t="s">
        <v>14</v>
      </c>
      <c r="F80" t="s">
        <v>24</v>
      </c>
      <c r="G80">
        <v>483000</v>
      </c>
      <c r="H80" s="1">
        <v>45667</v>
      </c>
      <c r="I80" t="s">
        <v>15</v>
      </c>
      <c r="J80" t="s">
        <v>16</v>
      </c>
      <c r="K8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81" spans="1:11" x14ac:dyDescent="0.75">
      <c r="A81" t="s">
        <v>130</v>
      </c>
      <c r="B81" t="s">
        <v>11</v>
      </c>
      <c r="C81" t="s">
        <v>99</v>
      </c>
      <c r="D81" t="s">
        <v>13</v>
      </c>
      <c r="E81" t="s">
        <v>14</v>
      </c>
      <c r="F81" t="s">
        <v>13</v>
      </c>
      <c r="G81">
        <v>450000</v>
      </c>
      <c r="H81" s="1">
        <v>45667</v>
      </c>
      <c r="I81" t="s">
        <v>15</v>
      </c>
      <c r="J81" t="s">
        <v>16</v>
      </c>
      <c r="K8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82" spans="1:11" x14ac:dyDescent="0.75">
      <c r="A82" t="s">
        <v>131</v>
      </c>
      <c r="B82" t="s">
        <v>11</v>
      </c>
      <c r="C82" t="s">
        <v>132</v>
      </c>
      <c r="D82" t="s">
        <v>29</v>
      </c>
      <c r="E82" t="s">
        <v>13</v>
      </c>
      <c r="F82" t="s">
        <v>14</v>
      </c>
      <c r="G82">
        <v>647000</v>
      </c>
      <c r="H82" s="1">
        <v>45667</v>
      </c>
      <c r="I82" t="s">
        <v>15</v>
      </c>
      <c r="J82" t="s">
        <v>16</v>
      </c>
      <c r="K8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83" spans="1:11" x14ac:dyDescent="0.75">
      <c r="A83" t="s">
        <v>133</v>
      </c>
      <c r="B83" t="s">
        <v>18</v>
      </c>
      <c r="C83" t="s">
        <v>90</v>
      </c>
      <c r="D83" t="s">
        <v>29</v>
      </c>
      <c r="E83" t="s">
        <v>13</v>
      </c>
      <c r="F83" t="s">
        <v>29</v>
      </c>
      <c r="G83">
        <v>1978000</v>
      </c>
      <c r="H83" s="1">
        <v>45667</v>
      </c>
      <c r="I83" t="s">
        <v>15</v>
      </c>
      <c r="J83" t="s">
        <v>16</v>
      </c>
      <c r="K8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84" spans="1:11" x14ac:dyDescent="0.75">
      <c r="A84" t="s">
        <v>134</v>
      </c>
      <c r="B84" t="s">
        <v>11</v>
      </c>
      <c r="C84" t="s">
        <v>24</v>
      </c>
      <c r="D84" t="s">
        <v>13</v>
      </c>
      <c r="E84" t="s">
        <v>13</v>
      </c>
      <c r="F84" t="s">
        <v>24</v>
      </c>
      <c r="G84">
        <v>610000</v>
      </c>
      <c r="H84" s="1">
        <v>45663</v>
      </c>
      <c r="I84" t="s">
        <v>15</v>
      </c>
      <c r="J84" t="s">
        <v>16</v>
      </c>
      <c r="K8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85" spans="1:11" x14ac:dyDescent="0.75">
      <c r="A85" t="s">
        <v>135</v>
      </c>
      <c r="B85" t="s">
        <v>18</v>
      </c>
      <c r="C85" t="s">
        <v>24</v>
      </c>
      <c r="D85" t="s">
        <v>29</v>
      </c>
      <c r="E85" t="s">
        <v>14</v>
      </c>
      <c r="F85" t="s">
        <v>14</v>
      </c>
      <c r="G85">
        <v>555000</v>
      </c>
      <c r="H85" s="1">
        <v>45660</v>
      </c>
      <c r="I85" t="s">
        <v>15</v>
      </c>
      <c r="J85" t="s">
        <v>16</v>
      </c>
      <c r="K8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86" spans="1:11" x14ac:dyDescent="0.75">
      <c r="A86" t="s">
        <v>136</v>
      </c>
      <c r="B86" t="s">
        <v>11</v>
      </c>
      <c r="C86" t="s">
        <v>137</v>
      </c>
      <c r="D86" t="s">
        <v>13</v>
      </c>
      <c r="E86" t="s">
        <v>13</v>
      </c>
      <c r="F86" t="s">
        <v>24</v>
      </c>
      <c r="G86">
        <v>652250</v>
      </c>
      <c r="H86" s="1">
        <v>45656</v>
      </c>
      <c r="I86" t="s">
        <v>15</v>
      </c>
      <c r="J86" t="s">
        <v>16</v>
      </c>
      <c r="K8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87" spans="1:11" x14ac:dyDescent="0.75">
      <c r="A87" t="s">
        <v>138</v>
      </c>
      <c r="B87" t="s">
        <v>11</v>
      </c>
      <c r="C87" t="s">
        <v>24</v>
      </c>
      <c r="D87" t="s">
        <v>13</v>
      </c>
      <c r="E87" t="s">
        <v>14</v>
      </c>
      <c r="F87" t="s">
        <v>14</v>
      </c>
      <c r="G87">
        <v>330000</v>
      </c>
      <c r="H87" s="1">
        <v>45649</v>
      </c>
      <c r="I87" t="s">
        <v>15</v>
      </c>
      <c r="J87" t="s">
        <v>16</v>
      </c>
      <c r="K8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300K-400K</v>
      </c>
    </row>
    <row r="88" spans="1:11" x14ac:dyDescent="0.75">
      <c r="A88" t="s">
        <v>139</v>
      </c>
      <c r="B88" t="s">
        <v>11</v>
      </c>
      <c r="C88" t="s">
        <v>24</v>
      </c>
      <c r="D88" t="s">
        <v>13</v>
      </c>
      <c r="E88" t="s">
        <v>13</v>
      </c>
      <c r="F88" t="s">
        <v>14</v>
      </c>
      <c r="G88">
        <v>570000</v>
      </c>
      <c r="H88" s="1">
        <v>45646</v>
      </c>
      <c r="I88" t="s">
        <v>15</v>
      </c>
      <c r="J88" t="s">
        <v>16</v>
      </c>
      <c r="K8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89" spans="1:11" x14ac:dyDescent="0.75">
      <c r="A89" t="s">
        <v>140</v>
      </c>
      <c r="B89" t="s">
        <v>11</v>
      </c>
      <c r="C89" t="s">
        <v>24</v>
      </c>
      <c r="D89" t="s">
        <v>13</v>
      </c>
      <c r="E89" t="s">
        <v>14</v>
      </c>
      <c r="F89" t="s">
        <v>14</v>
      </c>
      <c r="G89">
        <v>413000</v>
      </c>
      <c r="H89" s="1">
        <v>45646</v>
      </c>
      <c r="I89" t="s">
        <v>15</v>
      </c>
      <c r="J89" t="s">
        <v>16</v>
      </c>
      <c r="K8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90" spans="1:11" x14ac:dyDescent="0.75">
      <c r="A90" t="s">
        <v>141</v>
      </c>
      <c r="B90" t="s">
        <v>11</v>
      </c>
      <c r="C90" t="s">
        <v>142</v>
      </c>
      <c r="D90" t="s">
        <v>29</v>
      </c>
      <c r="E90" t="s">
        <v>13</v>
      </c>
      <c r="F90" t="s">
        <v>13</v>
      </c>
      <c r="G90">
        <v>830000</v>
      </c>
      <c r="H90" s="1">
        <v>45646</v>
      </c>
      <c r="I90" t="s">
        <v>15</v>
      </c>
      <c r="J90" t="s">
        <v>16</v>
      </c>
      <c r="K9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800K-900K</v>
      </c>
    </row>
    <row r="91" spans="1:11" x14ac:dyDescent="0.75">
      <c r="A91" t="s">
        <v>143</v>
      </c>
      <c r="B91" t="s">
        <v>11</v>
      </c>
      <c r="C91" t="s">
        <v>24</v>
      </c>
      <c r="D91" t="s">
        <v>13</v>
      </c>
      <c r="E91" t="s">
        <v>13</v>
      </c>
      <c r="F91" t="s">
        <v>14</v>
      </c>
      <c r="G91">
        <v>570000</v>
      </c>
      <c r="H91" s="1">
        <v>45646</v>
      </c>
      <c r="I91" t="s">
        <v>15</v>
      </c>
      <c r="J91" t="s">
        <v>16</v>
      </c>
      <c r="K9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92" spans="1:11" x14ac:dyDescent="0.75">
      <c r="A92" t="s">
        <v>144</v>
      </c>
      <c r="B92" t="s">
        <v>11</v>
      </c>
      <c r="C92" t="s">
        <v>24</v>
      </c>
      <c r="D92" t="s">
        <v>13</v>
      </c>
      <c r="E92" t="s">
        <v>14</v>
      </c>
      <c r="F92" t="s">
        <v>14</v>
      </c>
      <c r="G92">
        <v>420000</v>
      </c>
      <c r="H92" s="1">
        <v>45646</v>
      </c>
      <c r="I92" t="s">
        <v>15</v>
      </c>
      <c r="J92" t="s">
        <v>16</v>
      </c>
      <c r="K9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93" spans="1:11" x14ac:dyDescent="0.75">
      <c r="A93" t="s">
        <v>145</v>
      </c>
      <c r="B93" t="s">
        <v>11</v>
      </c>
      <c r="C93" t="s">
        <v>146</v>
      </c>
      <c r="D93" t="s">
        <v>13</v>
      </c>
      <c r="E93" t="s">
        <v>13</v>
      </c>
      <c r="F93" t="s">
        <v>24</v>
      </c>
      <c r="G93">
        <v>620000</v>
      </c>
      <c r="H93" s="1">
        <v>45646</v>
      </c>
      <c r="I93" t="s">
        <v>15</v>
      </c>
      <c r="J93" t="s">
        <v>16</v>
      </c>
      <c r="K9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94" spans="1:11" x14ac:dyDescent="0.75">
      <c r="A94" t="s">
        <v>147</v>
      </c>
      <c r="B94" t="s">
        <v>11</v>
      </c>
      <c r="C94" t="s">
        <v>26</v>
      </c>
      <c r="D94" t="s">
        <v>13</v>
      </c>
      <c r="E94" t="s">
        <v>14</v>
      </c>
      <c r="F94" t="s">
        <v>24</v>
      </c>
      <c r="G94">
        <v>421500</v>
      </c>
      <c r="H94" s="1">
        <v>45645</v>
      </c>
      <c r="I94" t="s">
        <v>15</v>
      </c>
      <c r="J94" t="s">
        <v>16</v>
      </c>
      <c r="K9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95" spans="1:11" x14ac:dyDescent="0.75">
      <c r="A95" t="s">
        <v>148</v>
      </c>
      <c r="B95" t="s">
        <v>11</v>
      </c>
      <c r="C95" t="s">
        <v>24</v>
      </c>
      <c r="D95" t="s">
        <v>13</v>
      </c>
      <c r="E95" t="s">
        <v>14</v>
      </c>
      <c r="F95" t="s">
        <v>14</v>
      </c>
      <c r="G95">
        <v>463000</v>
      </c>
      <c r="H95" s="1">
        <v>45644</v>
      </c>
      <c r="I95" t="s">
        <v>15</v>
      </c>
      <c r="J95" t="s">
        <v>16</v>
      </c>
      <c r="K9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96" spans="1:11" x14ac:dyDescent="0.75">
      <c r="A96" t="s">
        <v>149</v>
      </c>
      <c r="B96" t="s">
        <v>11</v>
      </c>
      <c r="C96" t="s">
        <v>24</v>
      </c>
      <c r="D96" t="s">
        <v>29</v>
      </c>
      <c r="E96" t="s">
        <v>13</v>
      </c>
      <c r="F96" t="s">
        <v>14</v>
      </c>
      <c r="G96">
        <v>320000</v>
      </c>
      <c r="H96" s="1">
        <v>45644</v>
      </c>
      <c r="I96" t="s">
        <v>15</v>
      </c>
      <c r="J96" t="s">
        <v>16</v>
      </c>
      <c r="K9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300K-400K</v>
      </c>
    </row>
    <row r="97" spans="1:11" x14ac:dyDescent="0.75">
      <c r="A97" t="s">
        <v>150</v>
      </c>
      <c r="B97" t="s">
        <v>11</v>
      </c>
      <c r="C97" t="s">
        <v>99</v>
      </c>
      <c r="D97" t="s">
        <v>13</v>
      </c>
      <c r="E97" t="s">
        <v>14</v>
      </c>
      <c r="F97" t="s">
        <v>14</v>
      </c>
      <c r="G97">
        <v>418000</v>
      </c>
      <c r="H97" s="1">
        <v>45644</v>
      </c>
      <c r="I97" t="s">
        <v>15</v>
      </c>
      <c r="J97" t="s">
        <v>16</v>
      </c>
      <c r="K9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98" spans="1:11" x14ac:dyDescent="0.75">
      <c r="A98" t="s">
        <v>151</v>
      </c>
      <c r="B98" t="s">
        <v>11</v>
      </c>
      <c r="C98" t="s">
        <v>24</v>
      </c>
      <c r="D98" t="s">
        <v>31</v>
      </c>
      <c r="E98" t="s">
        <v>13</v>
      </c>
      <c r="F98" t="s">
        <v>29</v>
      </c>
      <c r="G98">
        <v>1088000</v>
      </c>
      <c r="H98" s="1">
        <v>45643</v>
      </c>
      <c r="I98" t="s">
        <v>15</v>
      </c>
      <c r="J98" t="s">
        <v>16</v>
      </c>
      <c r="K9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99" spans="1:11" x14ac:dyDescent="0.75">
      <c r="A99" t="s">
        <v>152</v>
      </c>
      <c r="B99" t="s">
        <v>11</v>
      </c>
      <c r="C99" t="s">
        <v>153</v>
      </c>
      <c r="D99" t="s">
        <v>14</v>
      </c>
      <c r="E99" t="s">
        <v>14</v>
      </c>
      <c r="F99" t="s">
        <v>14</v>
      </c>
      <c r="G99">
        <v>450000</v>
      </c>
      <c r="H99" s="1">
        <v>45643</v>
      </c>
      <c r="I99" t="s">
        <v>15</v>
      </c>
      <c r="J99" t="s">
        <v>16</v>
      </c>
      <c r="K9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100" spans="1:11" x14ac:dyDescent="0.75">
      <c r="A100" t="s">
        <v>154</v>
      </c>
      <c r="B100" t="s">
        <v>11</v>
      </c>
      <c r="C100" t="s">
        <v>24</v>
      </c>
      <c r="D100" t="s">
        <v>13</v>
      </c>
      <c r="E100" t="s">
        <v>14</v>
      </c>
      <c r="F100" t="s">
        <v>14</v>
      </c>
      <c r="G100">
        <v>495110</v>
      </c>
      <c r="H100" s="1">
        <v>45643</v>
      </c>
      <c r="I100" t="s">
        <v>15</v>
      </c>
      <c r="J100" t="s">
        <v>16</v>
      </c>
      <c r="K10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101" spans="1:11" x14ac:dyDescent="0.75">
      <c r="A101" t="s">
        <v>155</v>
      </c>
      <c r="B101" t="s">
        <v>11</v>
      </c>
      <c r="C101" t="s">
        <v>24</v>
      </c>
      <c r="D101" t="s">
        <v>13</v>
      </c>
      <c r="E101" t="s">
        <v>13</v>
      </c>
      <c r="F101" t="s">
        <v>14</v>
      </c>
      <c r="G101">
        <v>550000</v>
      </c>
      <c r="H101" s="1">
        <v>45643</v>
      </c>
      <c r="I101" t="s">
        <v>15</v>
      </c>
      <c r="J101" t="s">
        <v>16</v>
      </c>
      <c r="K10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102" spans="1:11" x14ac:dyDescent="0.75">
      <c r="A102" t="s">
        <v>156</v>
      </c>
      <c r="B102" t="s">
        <v>11</v>
      </c>
      <c r="C102" t="s">
        <v>24</v>
      </c>
      <c r="D102" t="s">
        <v>13</v>
      </c>
      <c r="E102" t="s">
        <v>14</v>
      </c>
      <c r="F102" t="s">
        <v>14</v>
      </c>
      <c r="G102">
        <v>420000</v>
      </c>
      <c r="H102" s="1">
        <v>45643</v>
      </c>
      <c r="I102" t="s">
        <v>15</v>
      </c>
      <c r="J102" t="s">
        <v>16</v>
      </c>
      <c r="K10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103" spans="1:11" x14ac:dyDescent="0.75">
      <c r="A103" t="s">
        <v>157</v>
      </c>
      <c r="B103" t="s">
        <v>18</v>
      </c>
      <c r="C103" t="s">
        <v>24</v>
      </c>
      <c r="D103" t="s">
        <v>29</v>
      </c>
      <c r="E103" t="s">
        <v>29</v>
      </c>
      <c r="F103" t="s">
        <v>29</v>
      </c>
      <c r="G103">
        <v>1200000</v>
      </c>
      <c r="H103" s="1">
        <v>45642</v>
      </c>
      <c r="I103" t="s">
        <v>15</v>
      </c>
      <c r="J103" t="s">
        <v>16</v>
      </c>
      <c r="K10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04" spans="1:11" x14ac:dyDescent="0.75">
      <c r="A104" t="s">
        <v>158</v>
      </c>
      <c r="B104" t="s">
        <v>18</v>
      </c>
      <c r="C104" t="s">
        <v>159</v>
      </c>
      <c r="D104" t="s">
        <v>31</v>
      </c>
      <c r="E104" t="s">
        <v>13</v>
      </c>
      <c r="F104" t="s">
        <v>24</v>
      </c>
      <c r="G104">
        <v>1720000</v>
      </c>
      <c r="H104" s="1">
        <v>45642</v>
      </c>
      <c r="I104" t="s">
        <v>15</v>
      </c>
      <c r="J104" t="s">
        <v>16</v>
      </c>
      <c r="K10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05" spans="1:11" x14ac:dyDescent="0.75">
      <c r="A105" t="s">
        <v>160</v>
      </c>
      <c r="B105" t="s">
        <v>18</v>
      </c>
      <c r="C105" t="s">
        <v>161</v>
      </c>
      <c r="D105" t="s">
        <v>24</v>
      </c>
      <c r="E105" t="s">
        <v>24</v>
      </c>
      <c r="F105" t="s">
        <v>13</v>
      </c>
      <c r="G105">
        <v>2400000</v>
      </c>
      <c r="H105" s="1">
        <v>45642</v>
      </c>
      <c r="I105" t="s">
        <v>15</v>
      </c>
      <c r="J105" t="s">
        <v>16</v>
      </c>
      <c r="K10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06" spans="1:11" x14ac:dyDescent="0.75">
      <c r="A106" t="s">
        <v>162</v>
      </c>
      <c r="B106" t="s">
        <v>11</v>
      </c>
      <c r="C106" t="s">
        <v>22</v>
      </c>
      <c r="D106" t="s">
        <v>13</v>
      </c>
      <c r="E106" t="s">
        <v>14</v>
      </c>
      <c r="F106" t="s">
        <v>14</v>
      </c>
      <c r="G106">
        <v>428000</v>
      </c>
      <c r="H106" s="1">
        <v>45639</v>
      </c>
      <c r="I106" t="s">
        <v>15</v>
      </c>
      <c r="J106" t="s">
        <v>16</v>
      </c>
      <c r="K10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107" spans="1:11" x14ac:dyDescent="0.75">
      <c r="A107" t="s">
        <v>163</v>
      </c>
      <c r="B107" t="s">
        <v>11</v>
      </c>
      <c r="C107" t="s">
        <v>164</v>
      </c>
      <c r="D107" t="s">
        <v>13</v>
      </c>
      <c r="E107" t="s">
        <v>13</v>
      </c>
      <c r="F107" t="s">
        <v>14</v>
      </c>
      <c r="G107">
        <v>508000</v>
      </c>
      <c r="H107" s="1">
        <v>45639</v>
      </c>
      <c r="I107" t="s">
        <v>15</v>
      </c>
      <c r="J107" t="s">
        <v>16</v>
      </c>
      <c r="K10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108" spans="1:11" x14ac:dyDescent="0.75">
      <c r="A108" t="s">
        <v>165</v>
      </c>
      <c r="B108" t="s">
        <v>18</v>
      </c>
      <c r="C108" t="s">
        <v>166</v>
      </c>
      <c r="D108" t="s">
        <v>31</v>
      </c>
      <c r="E108" t="s">
        <v>14</v>
      </c>
      <c r="F108" t="s">
        <v>14</v>
      </c>
      <c r="G108">
        <v>1403000</v>
      </c>
      <c r="H108" s="1">
        <v>45639</v>
      </c>
      <c r="I108" t="s">
        <v>15</v>
      </c>
      <c r="J108" t="s">
        <v>16</v>
      </c>
      <c r="K10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09" spans="1:11" x14ac:dyDescent="0.75">
      <c r="A109" t="s">
        <v>167</v>
      </c>
      <c r="B109" t="s">
        <v>18</v>
      </c>
      <c r="C109" t="s">
        <v>24</v>
      </c>
      <c r="D109" t="s">
        <v>13</v>
      </c>
      <c r="E109" t="s">
        <v>14</v>
      </c>
      <c r="F109" t="s">
        <v>14</v>
      </c>
      <c r="G109">
        <v>2900000</v>
      </c>
      <c r="H109" s="1">
        <v>45639</v>
      </c>
      <c r="I109" t="s">
        <v>15</v>
      </c>
      <c r="J109" t="s">
        <v>16</v>
      </c>
      <c r="K10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10" spans="1:11" x14ac:dyDescent="0.75">
      <c r="A110" t="s">
        <v>168</v>
      </c>
      <c r="B110" t="s">
        <v>18</v>
      </c>
      <c r="C110" t="s">
        <v>169</v>
      </c>
      <c r="D110" t="s">
        <v>31</v>
      </c>
      <c r="E110" t="s">
        <v>14</v>
      </c>
      <c r="F110" t="s">
        <v>14</v>
      </c>
      <c r="G110">
        <v>1240000</v>
      </c>
      <c r="H110" s="1">
        <v>45638</v>
      </c>
      <c r="I110" t="s">
        <v>15</v>
      </c>
      <c r="J110" t="s">
        <v>16</v>
      </c>
      <c r="K11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11" spans="1:11" x14ac:dyDescent="0.75">
      <c r="A111" t="s">
        <v>170</v>
      </c>
      <c r="B111" t="s">
        <v>18</v>
      </c>
      <c r="C111" t="s">
        <v>24</v>
      </c>
      <c r="D111" t="s">
        <v>24</v>
      </c>
      <c r="E111" t="s">
        <v>24</v>
      </c>
      <c r="F111" t="s">
        <v>24</v>
      </c>
      <c r="G111">
        <v>1055000</v>
      </c>
      <c r="H111" s="1">
        <v>45637</v>
      </c>
      <c r="I111" t="s">
        <v>15</v>
      </c>
      <c r="J111" t="s">
        <v>16</v>
      </c>
      <c r="K11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12" spans="1:11" x14ac:dyDescent="0.75">
      <c r="A112" t="s">
        <v>171</v>
      </c>
      <c r="B112" t="s">
        <v>18</v>
      </c>
      <c r="C112" t="s">
        <v>22</v>
      </c>
      <c r="D112" t="s">
        <v>29</v>
      </c>
      <c r="E112" t="s">
        <v>13</v>
      </c>
      <c r="F112" t="s">
        <v>13</v>
      </c>
      <c r="G112">
        <v>1380000</v>
      </c>
      <c r="H112" s="1">
        <v>45636</v>
      </c>
      <c r="I112" t="s">
        <v>15</v>
      </c>
      <c r="J112" t="s">
        <v>16</v>
      </c>
      <c r="K11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13" spans="1:11" x14ac:dyDescent="0.75">
      <c r="A113" t="s">
        <v>172</v>
      </c>
      <c r="B113" t="s">
        <v>18</v>
      </c>
      <c r="C113" t="s">
        <v>22</v>
      </c>
      <c r="D113" t="s">
        <v>20</v>
      </c>
      <c r="E113" t="s">
        <v>29</v>
      </c>
      <c r="F113" t="s">
        <v>24</v>
      </c>
      <c r="G113">
        <v>1350000</v>
      </c>
      <c r="H113" s="1">
        <v>45636</v>
      </c>
      <c r="I113" t="s">
        <v>15</v>
      </c>
      <c r="J113" t="s">
        <v>16</v>
      </c>
      <c r="K11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14" spans="1:11" x14ac:dyDescent="0.75">
      <c r="A114" t="s">
        <v>173</v>
      </c>
      <c r="B114" t="s">
        <v>11</v>
      </c>
      <c r="C114" t="s">
        <v>24</v>
      </c>
      <c r="D114" t="s">
        <v>13</v>
      </c>
      <c r="E114" t="s">
        <v>13</v>
      </c>
      <c r="F114" t="s">
        <v>24</v>
      </c>
      <c r="G114">
        <v>675000</v>
      </c>
      <c r="H114" s="1">
        <v>45636</v>
      </c>
      <c r="I114" t="s">
        <v>15</v>
      </c>
      <c r="J114" t="s">
        <v>16</v>
      </c>
      <c r="K11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115" spans="1:11" x14ac:dyDescent="0.75">
      <c r="A115" t="s">
        <v>174</v>
      </c>
      <c r="B115" t="s">
        <v>11</v>
      </c>
      <c r="C115" t="s">
        <v>175</v>
      </c>
      <c r="D115" t="s">
        <v>13</v>
      </c>
      <c r="E115" t="s">
        <v>14</v>
      </c>
      <c r="F115" t="s">
        <v>24</v>
      </c>
      <c r="G115">
        <v>420000</v>
      </c>
      <c r="H115" s="1">
        <v>45636</v>
      </c>
      <c r="I115" t="s">
        <v>15</v>
      </c>
      <c r="J115" t="s">
        <v>16</v>
      </c>
      <c r="K11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116" spans="1:11" x14ac:dyDescent="0.75">
      <c r="A116" t="s">
        <v>176</v>
      </c>
      <c r="B116" t="s">
        <v>18</v>
      </c>
      <c r="C116" t="s">
        <v>24</v>
      </c>
      <c r="D116" t="s">
        <v>29</v>
      </c>
      <c r="E116" t="s">
        <v>13</v>
      </c>
      <c r="F116" t="s">
        <v>13</v>
      </c>
      <c r="G116">
        <v>1000000</v>
      </c>
      <c r="H116" s="1">
        <v>45636</v>
      </c>
      <c r="I116" t="s">
        <v>15</v>
      </c>
      <c r="J116" t="s">
        <v>16</v>
      </c>
      <c r="K11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900K-1M</v>
      </c>
    </row>
    <row r="117" spans="1:11" x14ac:dyDescent="0.75">
      <c r="A117" t="s">
        <v>177</v>
      </c>
      <c r="B117" t="s">
        <v>11</v>
      </c>
      <c r="C117" t="s">
        <v>24</v>
      </c>
      <c r="D117" t="s">
        <v>13</v>
      </c>
      <c r="E117" t="s">
        <v>13</v>
      </c>
      <c r="F117" t="s">
        <v>14</v>
      </c>
      <c r="G117">
        <v>600000</v>
      </c>
      <c r="H117" s="1">
        <v>45636</v>
      </c>
      <c r="I117" t="s">
        <v>15</v>
      </c>
      <c r="J117" t="s">
        <v>16</v>
      </c>
      <c r="K11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118" spans="1:11" x14ac:dyDescent="0.75">
      <c r="A118" t="s">
        <v>178</v>
      </c>
      <c r="B118" t="s">
        <v>11</v>
      </c>
      <c r="C118" t="s">
        <v>28</v>
      </c>
      <c r="D118" t="s">
        <v>13</v>
      </c>
      <c r="E118" t="s">
        <v>14</v>
      </c>
      <c r="F118" t="s">
        <v>14</v>
      </c>
      <c r="G118">
        <v>450000</v>
      </c>
      <c r="H118" s="1">
        <v>45635</v>
      </c>
      <c r="I118" t="s">
        <v>15</v>
      </c>
      <c r="J118" t="s">
        <v>16</v>
      </c>
      <c r="K11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119" spans="1:11" x14ac:dyDescent="0.75">
      <c r="A119" t="s">
        <v>179</v>
      </c>
      <c r="B119" t="s">
        <v>11</v>
      </c>
      <c r="C119" t="s">
        <v>90</v>
      </c>
      <c r="D119" t="s">
        <v>29</v>
      </c>
      <c r="E119" t="s">
        <v>14</v>
      </c>
      <c r="F119" t="s">
        <v>24</v>
      </c>
      <c r="G119">
        <v>790000</v>
      </c>
      <c r="H119" s="1">
        <v>45635</v>
      </c>
      <c r="I119" t="s">
        <v>15</v>
      </c>
      <c r="J119" t="s">
        <v>16</v>
      </c>
      <c r="K11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700K-800K</v>
      </c>
    </row>
    <row r="120" spans="1:11" x14ac:dyDescent="0.75">
      <c r="A120" t="s">
        <v>180</v>
      </c>
      <c r="B120" t="s">
        <v>18</v>
      </c>
      <c r="C120" t="s">
        <v>181</v>
      </c>
      <c r="D120" t="s">
        <v>31</v>
      </c>
      <c r="E120" t="s">
        <v>29</v>
      </c>
      <c r="F120" t="s">
        <v>13</v>
      </c>
      <c r="G120">
        <v>3520000</v>
      </c>
      <c r="H120" s="1">
        <v>45709</v>
      </c>
      <c r="I120" t="s">
        <v>182</v>
      </c>
      <c r="J120" t="s">
        <v>183</v>
      </c>
      <c r="K12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21" spans="1:11" x14ac:dyDescent="0.75">
      <c r="A121" t="s">
        <v>184</v>
      </c>
      <c r="B121" t="s">
        <v>11</v>
      </c>
      <c r="C121" t="s">
        <v>185</v>
      </c>
      <c r="D121" t="s">
        <v>13</v>
      </c>
      <c r="E121" t="s">
        <v>14</v>
      </c>
      <c r="F121" t="s">
        <v>14</v>
      </c>
      <c r="G121">
        <v>930000</v>
      </c>
      <c r="H121" s="1">
        <v>45709</v>
      </c>
      <c r="I121" t="s">
        <v>182</v>
      </c>
      <c r="J121" t="s">
        <v>183</v>
      </c>
      <c r="K12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900K-1M</v>
      </c>
    </row>
    <row r="122" spans="1:11" x14ac:dyDescent="0.75">
      <c r="A122" t="s">
        <v>186</v>
      </c>
      <c r="B122" t="s">
        <v>11</v>
      </c>
      <c r="C122" t="s">
        <v>187</v>
      </c>
      <c r="D122" t="s">
        <v>13</v>
      </c>
      <c r="E122" t="s">
        <v>14</v>
      </c>
      <c r="F122" t="s">
        <v>14</v>
      </c>
      <c r="G122">
        <v>888000</v>
      </c>
      <c r="H122" s="1">
        <v>45708</v>
      </c>
      <c r="I122" t="s">
        <v>182</v>
      </c>
      <c r="J122" t="s">
        <v>183</v>
      </c>
      <c r="K12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800K-900K</v>
      </c>
    </row>
    <row r="123" spans="1:11" x14ac:dyDescent="0.75">
      <c r="A123" t="s">
        <v>188</v>
      </c>
      <c r="B123" t="s">
        <v>11</v>
      </c>
      <c r="C123" t="s">
        <v>24</v>
      </c>
      <c r="D123" t="s">
        <v>24</v>
      </c>
      <c r="E123" t="s">
        <v>24</v>
      </c>
      <c r="F123" t="s">
        <v>24</v>
      </c>
      <c r="G123">
        <v>2481000</v>
      </c>
      <c r="H123" s="1">
        <v>45707</v>
      </c>
      <c r="I123" t="s">
        <v>182</v>
      </c>
      <c r="J123" t="s">
        <v>183</v>
      </c>
      <c r="K12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24" spans="1:11" x14ac:dyDescent="0.75">
      <c r="A124" t="s">
        <v>189</v>
      </c>
      <c r="B124" t="s">
        <v>11</v>
      </c>
      <c r="C124" t="s">
        <v>190</v>
      </c>
      <c r="D124" t="s">
        <v>13</v>
      </c>
      <c r="E124" t="s">
        <v>13</v>
      </c>
      <c r="F124" t="s">
        <v>14</v>
      </c>
      <c r="G124">
        <v>750000</v>
      </c>
      <c r="H124" s="1">
        <v>45706</v>
      </c>
      <c r="I124" t="s">
        <v>182</v>
      </c>
      <c r="J124" t="s">
        <v>183</v>
      </c>
      <c r="K12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700K-800K</v>
      </c>
    </row>
    <row r="125" spans="1:11" x14ac:dyDescent="0.75">
      <c r="A125" t="s">
        <v>191</v>
      </c>
      <c r="B125" t="s">
        <v>18</v>
      </c>
      <c r="C125" t="s">
        <v>192</v>
      </c>
      <c r="D125" t="s">
        <v>193</v>
      </c>
      <c r="E125" t="s">
        <v>38</v>
      </c>
      <c r="F125" t="s">
        <v>24</v>
      </c>
      <c r="G125">
        <v>6980142</v>
      </c>
      <c r="H125" s="1">
        <v>45706</v>
      </c>
      <c r="I125" t="s">
        <v>182</v>
      </c>
      <c r="J125" t="s">
        <v>183</v>
      </c>
      <c r="K12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26" spans="1:11" x14ac:dyDescent="0.75">
      <c r="A126" t="s">
        <v>194</v>
      </c>
      <c r="B126" t="s">
        <v>18</v>
      </c>
      <c r="C126" t="s">
        <v>192</v>
      </c>
      <c r="D126" t="s">
        <v>195</v>
      </c>
      <c r="E126" t="s">
        <v>20</v>
      </c>
      <c r="F126" t="s">
        <v>31</v>
      </c>
      <c r="G126">
        <v>4019858</v>
      </c>
      <c r="H126" s="1">
        <v>45706</v>
      </c>
      <c r="I126" t="s">
        <v>182</v>
      </c>
      <c r="J126" t="s">
        <v>183</v>
      </c>
      <c r="K12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27" spans="1:11" x14ac:dyDescent="0.75">
      <c r="A127" t="s">
        <v>196</v>
      </c>
      <c r="B127" t="s">
        <v>11</v>
      </c>
      <c r="C127" t="s">
        <v>24</v>
      </c>
      <c r="D127" t="s">
        <v>24</v>
      </c>
      <c r="E127" t="s">
        <v>24</v>
      </c>
      <c r="F127" t="s">
        <v>24</v>
      </c>
      <c r="G127">
        <v>1001000</v>
      </c>
      <c r="H127" s="1">
        <v>45705</v>
      </c>
      <c r="I127" t="s">
        <v>182</v>
      </c>
      <c r="J127" t="s">
        <v>183</v>
      </c>
      <c r="K12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28" spans="1:11" x14ac:dyDescent="0.75">
      <c r="A128" t="s">
        <v>197</v>
      </c>
      <c r="B128" t="s">
        <v>11</v>
      </c>
      <c r="C128" t="s">
        <v>198</v>
      </c>
      <c r="D128" t="s">
        <v>13</v>
      </c>
      <c r="E128" t="s">
        <v>14</v>
      </c>
      <c r="F128" t="s">
        <v>24</v>
      </c>
      <c r="G128">
        <v>732000</v>
      </c>
      <c r="H128" s="1">
        <v>45705</v>
      </c>
      <c r="I128" t="s">
        <v>182</v>
      </c>
      <c r="J128" t="s">
        <v>183</v>
      </c>
      <c r="K12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700K-800K</v>
      </c>
    </row>
    <row r="129" spans="1:11" x14ac:dyDescent="0.75">
      <c r="A129" t="s">
        <v>199</v>
      </c>
      <c r="B129" t="s">
        <v>18</v>
      </c>
      <c r="C129" t="s">
        <v>200</v>
      </c>
      <c r="D129" t="s">
        <v>38</v>
      </c>
      <c r="E129" t="s">
        <v>29</v>
      </c>
      <c r="F129" t="s">
        <v>14</v>
      </c>
      <c r="G129">
        <v>7000000</v>
      </c>
      <c r="H129" s="1">
        <v>45703</v>
      </c>
      <c r="I129" t="s">
        <v>182</v>
      </c>
      <c r="J129" t="s">
        <v>183</v>
      </c>
      <c r="K12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30" spans="1:11" x14ac:dyDescent="0.75">
      <c r="A130" t="s">
        <v>201</v>
      </c>
      <c r="B130" t="s">
        <v>18</v>
      </c>
      <c r="C130" t="s">
        <v>71</v>
      </c>
      <c r="D130" t="s">
        <v>31</v>
      </c>
      <c r="E130" t="s">
        <v>13</v>
      </c>
      <c r="F130" t="s">
        <v>14</v>
      </c>
      <c r="G130">
        <v>3100000</v>
      </c>
      <c r="H130" s="1">
        <v>45703</v>
      </c>
      <c r="I130" t="s">
        <v>182</v>
      </c>
      <c r="J130" t="s">
        <v>183</v>
      </c>
      <c r="K13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31" spans="1:11" x14ac:dyDescent="0.75">
      <c r="A131" t="s">
        <v>202</v>
      </c>
      <c r="B131" t="s">
        <v>11</v>
      </c>
      <c r="C131" t="s">
        <v>24</v>
      </c>
      <c r="D131" t="s">
        <v>29</v>
      </c>
      <c r="E131" t="s">
        <v>13</v>
      </c>
      <c r="F131" t="s">
        <v>13</v>
      </c>
      <c r="G131">
        <v>2200000</v>
      </c>
      <c r="H131" s="1">
        <v>45702</v>
      </c>
      <c r="I131" t="s">
        <v>182</v>
      </c>
      <c r="J131" t="s">
        <v>183</v>
      </c>
      <c r="K13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32" spans="1:11" x14ac:dyDescent="0.75">
      <c r="A132" t="s">
        <v>203</v>
      </c>
      <c r="B132" t="s">
        <v>11</v>
      </c>
      <c r="C132" t="s">
        <v>24</v>
      </c>
      <c r="D132" t="s">
        <v>29</v>
      </c>
      <c r="E132" t="s">
        <v>13</v>
      </c>
      <c r="F132" t="s">
        <v>13</v>
      </c>
      <c r="G132">
        <v>1335000</v>
      </c>
      <c r="H132" s="1">
        <v>45702</v>
      </c>
      <c r="I132" t="s">
        <v>182</v>
      </c>
      <c r="J132" t="s">
        <v>183</v>
      </c>
      <c r="K13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33" spans="1:11" x14ac:dyDescent="0.75">
      <c r="A133" t="s">
        <v>204</v>
      </c>
      <c r="B133" t="s">
        <v>11</v>
      </c>
      <c r="C133" t="s">
        <v>34</v>
      </c>
      <c r="D133" t="s">
        <v>13</v>
      </c>
      <c r="E133" t="s">
        <v>13</v>
      </c>
      <c r="F133" t="s">
        <v>24</v>
      </c>
      <c r="G133">
        <v>1230000</v>
      </c>
      <c r="H133" s="1">
        <v>45700</v>
      </c>
      <c r="I133" t="s">
        <v>182</v>
      </c>
      <c r="J133" t="s">
        <v>183</v>
      </c>
      <c r="K13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34" spans="1:11" x14ac:dyDescent="0.75">
      <c r="A134" t="s">
        <v>205</v>
      </c>
      <c r="B134" t="s">
        <v>11</v>
      </c>
      <c r="C134" t="s">
        <v>187</v>
      </c>
      <c r="D134" t="s">
        <v>13</v>
      </c>
      <c r="E134" t="s">
        <v>14</v>
      </c>
      <c r="F134" t="s">
        <v>24</v>
      </c>
      <c r="G134">
        <v>650000</v>
      </c>
      <c r="H134" s="1">
        <v>45698</v>
      </c>
      <c r="I134" t="s">
        <v>182</v>
      </c>
      <c r="J134" t="s">
        <v>183</v>
      </c>
      <c r="K13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135" spans="1:11" x14ac:dyDescent="0.75">
      <c r="A135" t="s">
        <v>206</v>
      </c>
      <c r="B135" t="s">
        <v>18</v>
      </c>
      <c r="C135" t="s">
        <v>192</v>
      </c>
      <c r="D135" t="s">
        <v>38</v>
      </c>
      <c r="E135" t="s">
        <v>20</v>
      </c>
      <c r="F135" t="s">
        <v>13</v>
      </c>
      <c r="G135">
        <v>5300000</v>
      </c>
      <c r="H135" s="1">
        <v>45693</v>
      </c>
      <c r="I135" t="s">
        <v>182</v>
      </c>
      <c r="J135" t="s">
        <v>183</v>
      </c>
      <c r="K13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36" spans="1:11" x14ac:dyDescent="0.75">
      <c r="A136" t="s">
        <v>207</v>
      </c>
      <c r="B136" t="s">
        <v>18</v>
      </c>
      <c r="C136" t="s">
        <v>71</v>
      </c>
      <c r="D136" t="s">
        <v>29</v>
      </c>
      <c r="E136" t="s">
        <v>29</v>
      </c>
      <c r="F136" t="s">
        <v>24</v>
      </c>
      <c r="G136">
        <v>2200000</v>
      </c>
      <c r="H136" s="1">
        <v>45692</v>
      </c>
      <c r="I136" t="s">
        <v>182</v>
      </c>
      <c r="J136" t="s">
        <v>183</v>
      </c>
      <c r="K13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37" spans="1:11" x14ac:dyDescent="0.75">
      <c r="A137" t="s">
        <v>208</v>
      </c>
      <c r="B137" t="s">
        <v>11</v>
      </c>
      <c r="C137" t="s">
        <v>24</v>
      </c>
      <c r="D137" t="s">
        <v>13</v>
      </c>
      <c r="E137" t="s">
        <v>14</v>
      </c>
      <c r="F137" t="s">
        <v>14</v>
      </c>
      <c r="G137">
        <v>718000</v>
      </c>
      <c r="H137" s="1">
        <v>45691</v>
      </c>
      <c r="I137" t="s">
        <v>182</v>
      </c>
      <c r="J137" t="s">
        <v>183</v>
      </c>
      <c r="K13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700K-800K</v>
      </c>
    </row>
    <row r="138" spans="1:11" x14ac:dyDescent="0.75">
      <c r="A138" t="s">
        <v>209</v>
      </c>
      <c r="B138" t="s">
        <v>18</v>
      </c>
      <c r="C138" t="s">
        <v>187</v>
      </c>
      <c r="D138" t="s">
        <v>31</v>
      </c>
      <c r="E138" t="s">
        <v>13</v>
      </c>
      <c r="F138" t="s">
        <v>13</v>
      </c>
      <c r="G138">
        <v>2680000</v>
      </c>
      <c r="H138" s="1">
        <v>45691</v>
      </c>
      <c r="I138" t="s">
        <v>182</v>
      </c>
      <c r="J138" t="s">
        <v>183</v>
      </c>
      <c r="K13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39" spans="1:11" x14ac:dyDescent="0.75">
      <c r="A139" t="s">
        <v>210</v>
      </c>
      <c r="B139" t="s">
        <v>11</v>
      </c>
      <c r="C139" t="s">
        <v>95</v>
      </c>
      <c r="D139" t="s">
        <v>13</v>
      </c>
      <c r="E139" t="s">
        <v>14</v>
      </c>
      <c r="F139" t="s">
        <v>24</v>
      </c>
      <c r="G139">
        <v>670000</v>
      </c>
      <c r="H139" s="1">
        <v>45690</v>
      </c>
      <c r="I139" t="s">
        <v>182</v>
      </c>
      <c r="J139" t="s">
        <v>183</v>
      </c>
      <c r="K13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140" spans="1:11" x14ac:dyDescent="0.75">
      <c r="A140" t="s">
        <v>211</v>
      </c>
      <c r="B140" t="s">
        <v>18</v>
      </c>
      <c r="C140" t="s">
        <v>212</v>
      </c>
      <c r="D140" t="s">
        <v>29</v>
      </c>
      <c r="E140" t="s">
        <v>13</v>
      </c>
      <c r="F140" t="s">
        <v>13</v>
      </c>
      <c r="G140">
        <v>2636000</v>
      </c>
      <c r="H140" s="1">
        <v>45688</v>
      </c>
      <c r="I140" t="s">
        <v>182</v>
      </c>
      <c r="J140" t="s">
        <v>183</v>
      </c>
      <c r="K14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41" spans="1:11" x14ac:dyDescent="0.75">
      <c r="A141" t="s">
        <v>213</v>
      </c>
      <c r="B141" t="s">
        <v>11</v>
      </c>
      <c r="C141" t="s">
        <v>214</v>
      </c>
      <c r="D141" t="s">
        <v>13</v>
      </c>
      <c r="E141" t="s">
        <v>13</v>
      </c>
      <c r="F141" t="s">
        <v>14</v>
      </c>
      <c r="G141">
        <v>700000</v>
      </c>
      <c r="H141" s="1">
        <v>45687</v>
      </c>
      <c r="I141" t="s">
        <v>182</v>
      </c>
      <c r="J141" t="s">
        <v>183</v>
      </c>
      <c r="K14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142" spans="1:11" x14ac:dyDescent="0.75">
      <c r="A142" t="s">
        <v>215</v>
      </c>
      <c r="B142" t="s">
        <v>11</v>
      </c>
      <c r="C142" t="s">
        <v>214</v>
      </c>
      <c r="D142" t="s">
        <v>13</v>
      </c>
      <c r="E142" t="s">
        <v>13</v>
      </c>
      <c r="F142" t="s">
        <v>14</v>
      </c>
      <c r="G142">
        <v>1250000</v>
      </c>
      <c r="H142" s="1">
        <v>45687</v>
      </c>
      <c r="I142" t="s">
        <v>182</v>
      </c>
      <c r="J142" t="s">
        <v>183</v>
      </c>
      <c r="K14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43" spans="1:11" x14ac:dyDescent="0.75">
      <c r="A143" t="s">
        <v>216</v>
      </c>
      <c r="B143" t="s">
        <v>18</v>
      </c>
      <c r="C143" t="s">
        <v>71</v>
      </c>
      <c r="D143" t="s">
        <v>29</v>
      </c>
      <c r="E143" t="s">
        <v>13</v>
      </c>
      <c r="F143" t="s">
        <v>24</v>
      </c>
      <c r="G143">
        <v>1723000</v>
      </c>
      <c r="H143" s="1">
        <v>45687</v>
      </c>
      <c r="I143" t="s">
        <v>182</v>
      </c>
      <c r="J143" t="s">
        <v>183</v>
      </c>
      <c r="K14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44" spans="1:11" x14ac:dyDescent="0.75">
      <c r="A144" t="s">
        <v>217</v>
      </c>
      <c r="B144" t="s">
        <v>11</v>
      </c>
      <c r="C144" t="s">
        <v>24</v>
      </c>
      <c r="D144" t="s">
        <v>13</v>
      </c>
      <c r="E144" t="s">
        <v>13</v>
      </c>
      <c r="F144" t="s">
        <v>14</v>
      </c>
      <c r="G144">
        <v>820000</v>
      </c>
      <c r="H144" s="1">
        <v>45686</v>
      </c>
      <c r="I144" t="s">
        <v>182</v>
      </c>
      <c r="J144" t="s">
        <v>183</v>
      </c>
      <c r="K14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800K-900K</v>
      </c>
    </row>
    <row r="145" spans="1:11" x14ac:dyDescent="0.75">
      <c r="A145" t="s">
        <v>218</v>
      </c>
      <c r="B145" t="s">
        <v>11</v>
      </c>
      <c r="C145" t="s">
        <v>24</v>
      </c>
      <c r="D145" t="s">
        <v>29</v>
      </c>
      <c r="E145" t="s">
        <v>13</v>
      </c>
      <c r="F145" t="s">
        <v>14</v>
      </c>
      <c r="G145">
        <v>933800</v>
      </c>
      <c r="H145" s="1">
        <v>45686</v>
      </c>
      <c r="I145" t="s">
        <v>182</v>
      </c>
      <c r="J145" t="s">
        <v>183</v>
      </c>
      <c r="K14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900K-1M</v>
      </c>
    </row>
    <row r="146" spans="1:11" x14ac:dyDescent="0.75">
      <c r="A146" t="s">
        <v>219</v>
      </c>
      <c r="B146" t="s">
        <v>11</v>
      </c>
      <c r="C146" t="s">
        <v>34</v>
      </c>
      <c r="D146" t="s">
        <v>13</v>
      </c>
      <c r="E146" t="s">
        <v>13</v>
      </c>
      <c r="F146" t="s">
        <v>24</v>
      </c>
      <c r="G146">
        <v>1200000</v>
      </c>
      <c r="H146" s="1">
        <v>45685</v>
      </c>
      <c r="I146" t="s">
        <v>182</v>
      </c>
      <c r="J146" t="s">
        <v>183</v>
      </c>
      <c r="K14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47" spans="1:11" x14ac:dyDescent="0.75">
      <c r="A147" t="s">
        <v>220</v>
      </c>
      <c r="B147" t="s">
        <v>11</v>
      </c>
      <c r="C147" t="s">
        <v>24</v>
      </c>
      <c r="D147" t="s">
        <v>13</v>
      </c>
      <c r="E147" t="s">
        <v>13</v>
      </c>
      <c r="F147" t="s">
        <v>14</v>
      </c>
      <c r="G147">
        <v>965000</v>
      </c>
      <c r="H147" s="1">
        <v>45685</v>
      </c>
      <c r="I147" t="s">
        <v>182</v>
      </c>
      <c r="J147" t="s">
        <v>183</v>
      </c>
      <c r="K14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900K-1M</v>
      </c>
    </row>
    <row r="148" spans="1:11" x14ac:dyDescent="0.75">
      <c r="A148" t="s">
        <v>221</v>
      </c>
      <c r="B148" t="s">
        <v>11</v>
      </c>
      <c r="C148" t="s">
        <v>24</v>
      </c>
      <c r="D148" t="s">
        <v>13</v>
      </c>
      <c r="E148" t="s">
        <v>13</v>
      </c>
      <c r="F148" t="s">
        <v>14</v>
      </c>
      <c r="G148">
        <v>930000</v>
      </c>
      <c r="H148" s="1">
        <v>45681</v>
      </c>
      <c r="I148" t="s">
        <v>182</v>
      </c>
      <c r="J148" t="s">
        <v>183</v>
      </c>
      <c r="K14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900K-1M</v>
      </c>
    </row>
    <row r="149" spans="1:11" x14ac:dyDescent="0.75">
      <c r="A149" t="s">
        <v>222</v>
      </c>
      <c r="B149" t="s">
        <v>11</v>
      </c>
      <c r="C149" t="s">
        <v>71</v>
      </c>
      <c r="D149" t="s">
        <v>29</v>
      </c>
      <c r="E149" t="s">
        <v>14</v>
      </c>
      <c r="F149" t="s">
        <v>24</v>
      </c>
      <c r="G149">
        <v>690000</v>
      </c>
      <c r="H149" s="1">
        <v>45681</v>
      </c>
      <c r="I149" t="s">
        <v>182</v>
      </c>
      <c r="J149" t="s">
        <v>183</v>
      </c>
      <c r="K14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150" spans="1:11" x14ac:dyDescent="0.75">
      <c r="A150" t="s">
        <v>223</v>
      </c>
      <c r="B150" t="s">
        <v>11</v>
      </c>
      <c r="C150" t="s">
        <v>24</v>
      </c>
      <c r="D150" t="s">
        <v>14</v>
      </c>
      <c r="E150" t="s">
        <v>14</v>
      </c>
      <c r="F150" t="s">
        <v>14</v>
      </c>
      <c r="G150">
        <v>705000</v>
      </c>
      <c r="H150" s="1">
        <v>45678</v>
      </c>
      <c r="I150" t="s">
        <v>182</v>
      </c>
      <c r="J150" t="s">
        <v>183</v>
      </c>
      <c r="K15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700K-800K</v>
      </c>
    </row>
    <row r="151" spans="1:11" x14ac:dyDescent="0.75">
      <c r="A151" t="s">
        <v>224</v>
      </c>
      <c r="B151" t="s">
        <v>11</v>
      </c>
      <c r="C151" t="s">
        <v>24</v>
      </c>
      <c r="D151" t="s">
        <v>13</v>
      </c>
      <c r="E151" t="s">
        <v>14</v>
      </c>
      <c r="F151" t="s">
        <v>14</v>
      </c>
      <c r="G151">
        <v>580000</v>
      </c>
      <c r="H151" s="1">
        <v>45678</v>
      </c>
      <c r="I151" t="s">
        <v>182</v>
      </c>
      <c r="J151" t="s">
        <v>183</v>
      </c>
      <c r="K15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152" spans="1:11" x14ac:dyDescent="0.75">
      <c r="A152" t="s">
        <v>225</v>
      </c>
      <c r="B152" t="s">
        <v>18</v>
      </c>
      <c r="C152" t="s">
        <v>71</v>
      </c>
      <c r="D152" t="s">
        <v>20</v>
      </c>
      <c r="E152" t="s">
        <v>29</v>
      </c>
      <c r="F152" t="s">
        <v>14</v>
      </c>
      <c r="G152">
        <v>2050000</v>
      </c>
      <c r="H152" s="1">
        <v>45678</v>
      </c>
      <c r="I152" t="s">
        <v>182</v>
      </c>
      <c r="J152" t="s">
        <v>183</v>
      </c>
      <c r="K15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53" spans="1:11" x14ac:dyDescent="0.75">
      <c r="A153" t="s">
        <v>226</v>
      </c>
      <c r="B153" t="s">
        <v>11</v>
      </c>
      <c r="C153" t="s">
        <v>24</v>
      </c>
      <c r="D153" t="s">
        <v>13</v>
      </c>
      <c r="E153" t="s">
        <v>13</v>
      </c>
      <c r="F153" t="s">
        <v>24</v>
      </c>
      <c r="G153">
        <v>1049000</v>
      </c>
      <c r="H153" s="1">
        <v>45677</v>
      </c>
      <c r="I153" t="s">
        <v>182</v>
      </c>
      <c r="J153" t="s">
        <v>183</v>
      </c>
      <c r="K15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54" spans="1:11" x14ac:dyDescent="0.75">
      <c r="A154" t="s">
        <v>227</v>
      </c>
      <c r="B154" t="s">
        <v>11</v>
      </c>
      <c r="C154" t="s">
        <v>228</v>
      </c>
      <c r="D154" t="s">
        <v>13</v>
      </c>
      <c r="E154" t="s">
        <v>13</v>
      </c>
      <c r="F154" t="s">
        <v>24</v>
      </c>
      <c r="G154">
        <v>920000</v>
      </c>
      <c r="H154" s="1">
        <v>45677</v>
      </c>
      <c r="I154" t="s">
        <v>182</v>
      </c>
      <c r="J154" t="s">
        <v>183</v>
      </c>
      <c r="K15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900K-1M</v>
      </c>
    </row>
    <row r="155" spans="1:11" x14ac:dyDescent="0.75">
      <c r="A155" t="s">
        <v>229</v>
      </c>
      <c r="B155" t="s">
        <v>18</v>
      </c>
      <c r="C155" t="s">
        <v>230</v>
      </c>
      <c r="D155" t="s">
        <v>20</v>
      </c>
      <c r="E155" t="s">
        <v>13</v>
      </c>
      <c r="F155" t="s">
        <v>13</v>
      </c>
      <c r="G155">
        <v>5200000</v>
      </c>
      <c r="H155" s="1">
        <v>45674</v>
      </c>
      <c r="I155" t="s">
        <v>182</v>
      </c>
      <c r="J155" t="s">
        <v>183</v>
      </c>
      <c r="K15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56" spans="1:11" x14ac:dyDescent="0.75">
      <c r="A156" t="s">
        <v>231</v>
      </c>
      <c r="B156" t="s">
        <v>11</v>
      </c>
      <c r="C156" t="s">
        <v>232</v>
      </c>
      <c r="D156" t="s">
        <v>14</v>
      </c>
      <c r="E156" t="s">
        <v>14</v>
      </c>
      <c r="F156" t="s">
        <v>14</v>
      </c>
      <c r="G156">
        <v>590000</v>
      </c>
      <c r="H156" s="1">
        <v>45673</v>
      </c>
      <c r="I156" t="s">
        <v>182</v>
      </c>
      <c r="J156" t="s">
        <v>183</v>
      </c>
      <c r="K15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157" spans="1:11" x14ac:dyDescent="0.75">
      <c r="A157" t="s">
        <v>233</v>
      </c>
      <c r="B157" t="s">
        <v>11</v>
      </c>
      <c r="C157" t="s">
        <v>234</v>
      </c>
      <c r="D157" t="s">
        <v>13</v>
      </c>
      <c r="E157" t="s">
        <v>14</v>
      </c>
      <c r="F157" t="s">
        <v>24</v>
      </c>
      <c r="G157">
        <v>600000</v>
      </c>
      <c r="H157" s="1">
        <v>45672</v>
      </c>
      <c r="I157" t="s">
        <v>182</v>
      </c>
      <c r="J157" t="s">
        <v>183</v>
      </c>
      <c r="K15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158" spans="1:11" x14ac:dyDescent="0.75">
      <c r="A158" t="s">
        <v>235</v>
      </c>
      <c r="B158" t="s">
        <v>11</v>
      </c>
      <c r="C158" t="s">
        <v>200</v>
      </c>
      <c r="D158" t="s">
        <v>13</v>
      </c>
      <c r="E158" t="s">
        <v>14</v>
      </c>
      <c r="F158" t="s">
        <v>24</v>
      </c>
      <c r="G158">
        <v>618000</v>
      </c>
      <c r="H158" s="1">
        <v>45671</v>
      </c>
      <c r="I158" t="s">
        <v>182</v>
      </c>
      <c r="J158" t="s">
        <v>183</v>
      </c>
      <c r="K15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159" spans="1:11" x14ac:dyDescent="0.75">
      <c r="A159" t="s">
        <v>236</v>
      </c>
      <c r="B159" t="s">
        <v>11</v>
      </c>
      <c r="C159" t="s">
        <v>187</v>
      </c>
      <c r="D159" t="s">
        <v>13</v>
      </c>
      <c r="E159" t="s">
        <v>13</v>
      </c>
      <c r="F159" t="s">
        <v>13</v>
      </c>
      <c r="G159">
        <v>791000</v>
      </c>
      <c r="H159" s="1">
        <v>45670</v>
      </c>
      <c r="I159" t="s">
        <v>182</v>
      </c>
      <c r="J159" t="s">
        <v>183</v>
      </c>
      <c r="K15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700K-800K</v>
      </c>
    </row>
    <row r="160" spans="1:11" x14ac:dyDescent="0.75">
      <c r="A160" t="s">
        <v>237</v>
      </c>
      <c r="B160" t="s">
        <v>11</v>
      </c>
      <c r="C160" t="s">
        <v>238</v>
      </c>
      <c r="D160" t="s">
        <v>13</v>
      </c>
      <c r="E160" t="s">
        <v>13</v>
      </c>
      <c r="F160" t="s">
        <v>24</v>
      </c>
      <c r="G160">
        <v>1050000</v>
      </c>
      <c r="H160" s="1">
        <v>45670</v>
      </c>
      <c r="I160" t="s">
        <v>182</v>
      </c>
      <c r="J160" t="s">
        <v>183</v>
      </c>
      <c r="K16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61" spans="1:11" x14ac:dyDescent="0.75">
      <c r="A161" t="s">
        <v>239</v>
      </c>
      <c r="B161" t="s">
        <v>11</v>
      </c>
      <c r="C161" t="s">
        <v>24</v>
      </c>
      <c r="D161" t="s">
        <v>14</v>
      </c>
      <c r="E161" t="s">
        <v>14</v>
      </c>
      <c r="F161" t="s">
        <v>14</v>
      </c>
      <c r="G161">
        <v>700000</v>
      </c>
      <c r="H161" s="1">
        <v>45667</v>
      </c>
      <c r="I161" t="s">
        <v>182</v>
      </c>
      <c r="J161" t="s">
        <v>183</v>
      </c>
      <c r="K16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162" spans="1:11" x14ac:dyDescent="0.75">
      <c r="A162" t="s">
        <v>240</v>
      </c>
      <c r="B162" t="s">
        <v>11</v>
      </c>
      <c r="C162" t="s">
        <v>200</v>
      </c>
      <c r="D162" t="s">
        <v>31</v>
      </c>
      <c r="E162" t="s">
        <v>29</v>
      </c>
      <c r="F162" t="s">
        <v>24</v>
      </c>
      <c r="G162">
        <v>3210000</v>
      </c>
      <c r="H162" s="1">
        <v>45664</v>
      </c>
      <c r="I162" t="s">
        <v>182</v>
      </c>
      <c r="J162" t="s">
        <v>183</v>
      </c>
      <c r="K16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63" spans="1:11" x14ac:dyDescent="0.75">
      <c r="A163" t="s">
        <v>241</v>
      </c>
      <c r="B163" t="s">
        <v>11</v>
      </c>
      <c r="C163" t="s">
        <v>24</v>
      </c>
      <c r="D163" t="s">
        <v>29</v>
      </c>
      <c r="E163" t="s">
        <v>13</v>
      </c>
      <c r="F163" t="s">
        <v>13</v>
      </c>
      <c r="G163">
        <v>1060000</v>
      </c>
      <c r="H163" s="1">
        <v>45664</v>
      </c>
      <c r="I163" t="s">
        <v>182</v>
      </c>
      <c r="J163" t="s">
        <v>183</v>
      </c>
      <c r="K16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64" spans="1:11" x14ac:dyDescent="0.75">
      <c r="A164" t="s">
        <v>242</v>
      </c>
      <c r="B164" t="s">
        <v>11</v>
      </c>
      <c r="C164" t="s">
        <v>243</v>
      </c>
      <c r="D164" t="s">
        <v>13</v>
      </c>
      <c r="E164" t="s">
        <v>13</v>
      </c>
      <c r="F164" t="s">
        <v>24</v>
      </c>
      <c r="G164">
        <v>823000</v>
      </c>
      <c r="H164" s="1">
        <v>45664</v>
      </c>
      <c r="I164" t="s">
        <v>182</v>
      </c>
      <c r="J164" t="s">
        <v>183</v>
      </c>
      <c r="K16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800K-900K</v>
      </c>
    </row>
    <row r="165" spans="1:11" x14ac:dyDescent="0.75">
      <c r="A165" t="s">
        <v>244</v>
      </c>
      <c r="B165" t="s">
        <v>11</v>
      </c>
      <c r="C165" t="s">
        <v>245</v>
      </c>
      <c r="D165" t="s">
        <v>13</v>
      </c>
      <c r="E165" t="s">
        <v>13</v>
      </c>
      <c r="F165" t="s">
        <v>14</v>
      </c>
      <c r="G165">
        <v>820000</v>
      </c>
      <c r="H165" s="1">
        <v>45653</v>
      </c>
      <c r="I165" t="s">
        <v>182</v>
      </c>
      <c r="J165" t="s">
        <v>183</v>
      </c>
      <c r="K16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800K-900K</v>
      </c>
    </row>
    <row r="166" spans="1:11" x14ac:dyDescent="0.75">
      <c r="A166" t="s">
        <v>246</v>
      </c>
      <c r="B166" t="s">
        <v>11</v>
      </c>
      <c r="C166" t="s">
        <v>187</v>
      </c>
      <c r="D166" t="s">
        <v>13</v>
      </c>
      <c r="E166" t="s">
        <v>13</v>
      </c>
      <c r="F166" t="s">
        <v>14</v>
      </c>
      <c r="G166">
        <v>780000</v>
      </c>
      <c r="H166" s="1">
        <v>45650</v>
      </c>
      <c r="I166" t="s">
        <v>182</v>
      </c>
      <c r="J166" t="s">
        <v>183</v>
      </c>
      <c r="K16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700K-800K</v>
      </c>
    </row>
    <row r="167" spans="1:11" x14ac:dyDescent="0.75">
      <c r="A167" t="s">
        <v>247</v>
      </c>
      <c r="B167" t="s">
        <v>11</v>
      </c>
      <c r="C167" t="s">
        <v>214</v>
      </c>
      <c r="D167" t="s">
        <v>13</v>
      </c>
      <c r="E167" t="s">
        <v>13</v>
      </c>
      <c r="F167" t="s">
        <v>14</v>
      </c>
      <c r="G167">
        <v>1250000</v>
      </c>
      <c r="H167" s="1">
        <v>45649</v>
      </c>
      <c r="I167" t="s">
        <v>182</v>
      </c>
      <c r="J167" t="s">
        <v>183</v>
      </c>
      <c r="K16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68" spans="1:11" x14ac:dyDescent="0.75">
      <c r="A168" t="s">
        <v>248</v>
      </c>
      <c r="B168" t="s">
        <v>11</v>
      </c>
      <c r="C168" t="s">
        <v>249</v>
      </c>
      <c r="D168" t="s">
        <v>13</v>
      </c>
      <c r="E168" t="s">
        <v>13</v>
      </c>
      <c r="F168" t="s">
        <v>14</v>
      </c>
      <c r="G168">
        <v>1450000</v>
      </c>
      <c r="H168" s="1">
        <v>45649</v>
      </c>
      <c r="I168" t="s">
        <v>182</v>
      </c>
      <c r="J168" t="s">
        <v>183</v>
      </c>
      <c r="K16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69" spans="1:11" x14ac:dyDescent="0.75">
      <c r="A169" t="s">
        <v>250</v>
      </c>
      <c r="B169" t="s">
        <v>11</v>
      </c>
      <c r="C169" t="s">
        <v>214</v>
      </c>
      <c r="D169" t="s">
        <v>13</v>
      </c>
      <c r="E169" t="s">
        <v>13</v>
      </c>
      <c r="F169" t="s">
        <v>14</v>
      </c>
      <c r="G169">
        <v>1250000</v>
      </c>
      <c r="H169" s="1">
        <v>45649</v>
      </c>
      <c r="I169" t="s">
        <v>182</v>
      </c>
      <c r="J169" t="s">
        <v>183</v>
      </c>
      <c r="K16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70" spans="1:11" x14ac:dyDescent="0.75">
      <c r="A170" t="s">
        <v>251</v>
      </c>
      <c r="B170" t="s">
        <v>11</v>
      </c>
      <c r="C170" t="s">
        <v>214</v>
      </c>
      <c r="D170" t="s">
        <v>13</v>
      </c>
      <c r="E170" t="s">
        <v>13</v>
      </c>
      <c r="F170" t="s">
        <v>14</v>
      </c>
      <c r="G170">
        <v>1250000</v>
      </c>
      <c r="H170" s="1">
        <v>45649</v>
      </c>
      <c r="I170" t="s">
        <v>182</v>
      </c>
      <c r="J170" t="s">
        <v>183</v>
      </c>
      <c r="K17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71" spans="1:11" x14ac:dyDescent="0.75">
      <c r="A171" t="s">
        <v>252</v>
      </c>
      <c r="B171" t="s">
        <v>11</v>
      </c>
      <c r="C171" t="s">
        <v>214</v>
      </c>
      <c r="D171" t="s">
        <v>13</v>
      </c>
      <c r="E171" t="s">
        <v>13</v>
      </c>
      <c r="F171" t="s">
        <v>14</v>
      </c>
      <c r="G171">
        <v>1250000</v>
      </c>
      <c r="H171" s="1">
        <v>45649</v>
      </c>
      <c r="I171" t="s">
        <v>182</v>
      </c>
      <c r="J171" t="s">
        <v>183</v>
      </c>
      <c r="K17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72" spans="1:11" x14ac:dyDescent="0.75">
      <c r="A172" t="s">
        <v>253</v>
      </c>
      <c r="B172" t="s">
        <v>11</v>
      </c>
      <c r="C172" t="s">
        <v>249</v>
      </c>
      <c r="D172" t="s">
        <v>13</v>
      </c>
      <c r="E172" t="s">
        <v>14</v>
      </c>
      <c r="F172" t="s">
        <v>14</v>
      </c>
      <c r="G172">
        <v>1450000</v>
      </c>
      <c r="H172" s="1">
        <v>45649</v>
      </c>
      <c r="I172" t="s">
        <v>182</v>
      </c>
      <c r="J172" t="s">
        <v>183</v>
      </c>
      <c r="K17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73" spans="1:11" x14ac:dyDescent="0.75">
      <c r="A173" t="s">
        <v>254</v>
      </c>
      <c r="B173" t="s">
        <v>11</v>
      </c>
      <c r="C173" t="s">
        <v>249</v>
      </c>
      <c r="D173" t="s">
        <v>13</v>
      </c>
      <c r="E173" t="s">
        <v>14</v>
      </c>
      <c r="F173" t="s">
        <v>14</v>
      </c>
      <c r="G173">
        <v>1450000</v>
      </c>
      <c r="H173" s="1">
        <v>45649</v>
      </c>
      <c r="I173" t="s">
        <v>182</v>
      </c>
      <c r="J173" t="s">
        <v>183</v>
      </c>
      <c r="K17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74" spans="1:11" x14ac:dyDescent="0.75">
      <c r="A174" t="s">
        <v>255</v>
      </c>
      <c r="B174" t="s">
        <v>11</v>
      </c>
      <c r="C174" t="s">
        <v>249</v>
      </c>
      <c r="D174" t="s">
        <v>13</v>
      </c>
      <c r="E174" t="s">
        <v>14</v>
      </c>
      <c r="F174" t="s">
        <v>14</v>
      </c>
      <c r="G174">
        <v>1450000</v>
      </c>
      <c r="H174" s="1">
        <v>45649</v>
      </c>
      <c r="I174" t="s">
        <v>182</v>
      </c>
      <c r="J174" t="s">
        <v>183</v>
      </c>
      <c r="K17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75" spans="1:11" x14ac:dyDescent="0.75">
      <c r="A175" t="s">
        <v>256</v>
      </c>
      <c r="B175" t="s">
        <v>11</v>
      </c>
      <c r="C175" t="s">
        <v>249</v>
      </c>
      <c r="D175" t="s">
        <v>13</v>
      </c>
      <c r="E175" t="s">
        <v>14</v>
      </c>
      <c r="F175" t="s">
        <v>14</v>
      </c>
      <c r="G175">
        <v>1450000</v>
      </c>
      <c r="H175" s="1">
        <v>45649</v>
      </c>
      <c r="I175" t="s">
        <v>182</v>
      </c>
      <c r="J175" t="s">
        <v>183</v>
      </c>
      <c r="K17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76" spans="1:11" x14ac:dyDescent="0.75">
      <c r="A176" t="s">
        <v>257</v>
      </c>
      <c r="B176" t="s">
        <v>11</v>
      </c>
      <c r="C176" t="s">
        <v>249</v>
      </c>
      <c r="D176" t="s">
        <v>13</v>
      </c>
      <c r="E176" t="s">
        <v>14</v>
      </c>
      <c r="F176" t="s">
        <v>24</v>
      </c>
      <c r="G176">
        <v>1450000</v>
      </c>
      <c r="H176" s="1">
        <v>45649</v>
      </c>
      <c r="I176" t="s">
        <v>182</v>
      </c>
      <c r="J176" t="s">
        <v>183</v>
      </c>
      <c r="K17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77" spans="1:11" x14ac:dyDescent="0.75">
      <c r="A177" t="s">
        <v>258</v>
      </c>
      <c r="B177" t="s">
        <v>11</v>
      </c>
      <c r="C177" t="s">
        <v>24</v>
      </c>
      <c r="D177" t="s">
        <v>13</v>
      </c>
      <c r="E177" t="s">
        <v>14</v>
      </c>
      <c r="F177" t="s">
        <v>14</v>
      </c>
      <c r="G177">
        <v>850000</v>
      </c>
      <c r="H177" s="1">
        <v>45649</v>
      </c>
      <c r="I177" t="s">
        <v>182</v>
      </c>
      <c r="J177" t="s">
        <v>183</v>
      </c>
      <c r="K17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800K-900K</v>
      </c>
    </row>
    <row r="178" spans="1:11" x14ac:dyDescent="0.75">
      <c r="A178" t="s">
        <v>259</v>
      </c>
      <c r="B178" t="s">
        <v>11</v>
      </c>
      <c r="C178" t="s">
        <v>24</v>
      </c>
      <c r="D178" t="s">
        <v>13</v>
      </c>
      <c r="E178" t="s">
        <v>14</v>
      </c>
      <c r="F178" t="s">
        <v>13</v>
      </c>
      <c r="G178">
        <v>1040000</v>
      </c>
      <c r="H178" s="1">
        <v>45649</v>
      </c>
      <c r="I178" t="s">
        <v>182</v>
      </c>
      <c r="J178" t="s">
        <v>183</v>
      </c>
      <c r="K17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79" spans="1:11" x14ac:dyDescent="0.75">
      <c r="A179" t="s">
        <v>260</v>
      </c>
      <c r="B179" t="s">
        <v>11</v>
      </c>
      <c r="C179" t="s">
        <v>24</v>
      </c>
      <c r="D179" t="s">
        <v>13</v>
      </c>
      <c r="E179" t="s">
        <v>14</v>
      </c>
      <c r="F179" t="s">
        <v>24</v>
      </c>
      <c r="G179">
        <v>1180000</v>
      </c>
      <c r="H179" s="1">
        <v>45646</v>
      </c>
      <c r="I179" t="s">
        <v>182</v>
      </c>
      <c r="J179" t="s">
        <v>183</v>
      </c>
      <c r="K17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80" spans="1:11" x14ac:dyDescent="0.75">
      <c r="A180" t="s">
        <v>261</v>
      </c>
      <c r="B180" t="s">
        <v>11</v>
      </c>
      <c r="C180" t="s">
        <v>24</v>
      </c>
      <c r="D180" t="s">
        <v>13</v>
      </c>
      <c r="E180" t="s">
        <v>13</v>
      </c>
      <c r="F180" t="s">
        <v>24</v>
      </c>
      <c r="G180">
        <v>1250000</v>
      </c>
      <c r="H180" s="1">
        <v>45646</v>
      </c>
      <c r="I180" t="s">
        <v>182</v>
      </c>
      <c r="J180" t="s">
        <v>183</v>
      </c>
      <c r="K18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81" spans="1:11" x14ac:dyDescent="0.75">
      <c r="A181" t="s">
        <v>262</v>
      </c>
      <c r="B181" t="s">
        <v>11</v>
      </c>
      <c r="C181" t="s">
        <v>200</v>
      </c>
      <c r="D181" t="s">
        <v>24</v>
      </c>
      <c r="E181" t="s">
        <v>24</v>
      </c>
      <c r="F181" t="s">
        <v>24</v>
      </c>
      <c r="G181">
        <v>1300000</v>
      </c>
      <c r="H181" s="1">
        <v>45646</v>
      </c>
      <c r="I181" t="s">
        <v>182</v>
      </c>
      <c r="J181" t="s">
        <v>183</v>
      </c>
      <c r="K18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82" spans="1:11" x14ac:dyDescent="0.75">
      <c r="A182" t="s">
        <v>263</v>
      </c>
      <c r="B182" t="s">
        <v>11</v>
      </c>
      <c r="C182" t="s">
        <v>24</v>
      </c>
      <c r="D182" t="s">
        <v>14</v>
      </c>
      <c r="E182" t="s">
        <v>14</v>
      </c>
      <c r="F182" t="s">
        <v>14</v>
      </c>
      <c r="G182">
        <v>720000</v>
      </c>
      <c r="H182" s="1">
        <v>45646</v>
      </c>
      <c r="I182" t="s">
        <v>182</v>
      </c>
      <c r="J182" t="s">
        <v>183</v>
      </c>
      <c r="K18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700K-800K</v>
      </c>
    </row>
    <row r="183" spans="1:11" x14ac:dyDescent="0.75">
      <c r="A183" t="s">
        <v>264</v>
      </c>
      <c r="B183" t="s">
        <v>11</v>
      </c>
      <c r="C183" t="s">
        <v>24</v>
      </c>
      <c r="D183" t="s">
        <v>13</v>
      </c>
      <c r="E183" t="s">
        <v>13</v>
      </c>
      <c r="F183" t="s">
        <v>24</v>
      </c>
      <c r="G183">
        <v>970000</v>
      </c>
      <c r="H183" s="1">
        <v>45645</v>
      </c>
      <c r="I183" t="s">
        <v>182</v>
      </c>
      <c r="J183" t="s">
        <v>183</v>
      </c>
      <c r="K18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900K-1M</v>
      </c>
    </row>
    <row r="184" spans="1:11" x14ac:dyDescent="0.75">
      <c r="A184" t="s">
        <v>265</v>
      </c>
      <c r="B184" t="s">
        <v>18</v>
      </c>
      <c r="C184" t="s">
        <v>24</v>
      </c>
      <c r="D184" t="s">
        <v>31</v>
      </c>
      <c r="E184" t="s">
        <v>29</v>
      </c>
      <c r="F184" t="s">
        <v>13</v>
      </c>
      <c r="G184">
        <v>1750000</v>
      </c>
      <c r="H184" s="1">
        <v>45644</v>
      </c>
      <c r="I184" t="s">
        <v>182</v>
      </c>
      <c r="J184" t="s">
        <v>183</v>
      </c>
      <c r="K18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85" spans="1:11" x14ac:dyDescent="0.75">
      <c r="A185" t="s">
        <v>266</v>
      </c>
      <c r="B185" t="s">
        <v>18</v>
      </c>
      <c r="C185" t="s">
        <v>24</v>
      </c>
      <c r="D185" t="s">
        <v>29</v>
      </c>
      <c r="E185" t="s">
        <v>14</v>
      </c>
      <c r="F185" t="s">
        <v>24</v>
      </c>
      <c r="G185">
        <v>1050000</v>
      </c>
      <c r="H185" s="1">
        <v>45644</v>
      </c>
      <c r="I185" t="s">
        <v>182</v>
      </c>
      <c r="J185" t="s">
        <v>183</v>
      </c>
      <c r="K18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86" spans="1:11" x14ac:dyDescent="0.75">
      <c r="A186" t="s">
        <v>267</v>
      </c>
      <c r="B186" t="s">
        <v>11</v>
      </c>
      <c r="C186" t="s">
        <v>24</v>
      </c>
      <c r="D186" t="s">
        <v>24</v>
      </c>
      <c r="E186" t="s">
        <v>24</v>
      </c>
      <c r="F186" t="s">
        <v>24</v>
      </c>
      <c r="G186">
        <v>1925000</v>
      </c>
      <c r="H186" s="1">
        <v>45644</v>
      </c>
      <c r="I186" t="s">
        <v>182</v>
      </c>
      <c r="J186" t="s">
        <v>183</v>
      </c>
      <c r="K18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87" spans="1:11" x14ac:dyDescent="0.75">
      <c r="A187" t="s">
        <v>268</v>
      </c>
      <c r="B187" t="s">
        <v>11</v>
      </c>
      <c r="C187" t="s">
        <v>24</v>
      </c>
      <c r="D187" t="s">
        <v>13</v>
      </c>
      <c r="E187" t="s">
        <v>14</v>
      </c>
      <c r="F187" t="s">
        <v>24</v>
      </c>
      <c r="G187">
        <v>1400000</v>
      </c>
      <c r="H187" s="1">
        <v>45644</v>
      </c>
      <c r="I187" t="s">
        <v>182</v>
      </c>
      <c r="J187" t="s">
        <v>183</v>
      </c>
      <c r="K18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88" spans="1:11" x14ac:dyDescent="0.75">
      <c r="A188" t="s">
        <v>269</v>
      </c>
      <c r="B188" t="s">
        <v>18</v>
      </c>
      <c r="C188" t="s">
        <v>24</v>
      </c>
      <c r="D188" t="s">
        <v>29</v>
      </c>
      <c r="E188" t="s">
        <v>13</v>
      </c>
      <c r="F188" t="s">
        <v>13</v>
      </c>
      <c r="G188">
        <v>1750000</v>
      </c>
      <c r="H188" s="1">
        <v>45644</v>
      </c>
      <c r="I188" t="s">
        <v>182</v>
      </c>
      <c r="J188" t="s">
        <v>183</v>
      </c>
      <c r="K18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89" spans="1:11" x14ac:dyDescent="0.75">
      <c r="A189" t="s">
        <v>270</v>
      </c>
      <c r="B189" t="s">
        <v>11</v>
      </c>
      <c r="C189" t="s">
        <v>271</v>
      </c>
      <c r="D189" t="s">
        <v>14</v>
      </c>
      <c r="E189" t="s">
        <v>14</v>
      </c>
      <c r="F189" t="s">
        <v>24</v>
      </c>
      <c r="G189">
        <v>600000</v>
      </c>
      <c r="H189" s="1">
        <v>45643</v>
      </c>
      <c r="I189" t="s">
        <v>182</v>
      </c>
      <c r="J189" t="s">
        <v>183</v>
      </c>
      <c r="K18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190" spans="1:11" x14ac:dyDescent="0.75">
      <c r="A190" t="s">
        <v>272</v>
      </c>
      <c r="B190" t="s">
        <v>11</v>
      </c>
      <c r="C190" t="s">
        <v>24</v>
      </c>
      <c r="D190" t="s">
        <v>13</v>
      </c>
      <c r="E190" t="s">
        <v>14</v>
      </c>
      <c r="F190" t="s">
        <v>14</v>
      </c>
      <c r="G190">
        <v>3000000</v>
      </c>
      <c r="H190" s="1">
        <v>45643</v>
      </c>
      <c r="I190" t="s">
        <v>182</v>
      </c>
      <c r="J190" t="s">
        <v>183</v>
      </c>
      <c r="K19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91" spans="1:11" x14ac:dyDescent="0.75">
      <c r="A191" t="s">
        <v>273</v>
      </c>
      <c r="B191" t="s">
        <v>18</v>
      </c>
      <c r="C191" t="s">
        <v>71</v>
      </c>
      <c r="D191" t="s">
        <v>31</v>
      </c>
      <c r="E191" t="s">
        <v>13</v>
      </c>
      <c r="F191" t="s">
        <v>14</v>
      </c>
      <c r="G191">
        <v>2600000</v>
      </c>
      <c r="H191" s="1">
        <v>45643</v>
      </c>
      <c r="I191" t="s">
        <v>182</v>
      </c>
      <c r="J191" t="s">
        <v>183</v>
      </c>
      <c r="K19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92" spans="1:11" x14ac:dyDescent="0.75">
      <c r="A192" t="s">
        <v>274</v>
      </c>
      <c r="B192" t="s">
        <v>11</v>
      </c>
      <c r="C192" t="s">
        <v>275</v>
      </c>
      <c r="D192" t="s">
        <v>13</v>
      </c>
      <c r="E192" t="s">
        <v>14</v>
      </c>
      <c r="F192" t="s">
        <v>14</v>
      </c>
      <c r="G192">
        <v>772000</v>
      </c>
      <c r="H192" s="1">
        <v>45643</v>
      </c>
      <c r="I192" t="s">
        <v>182</v>
      </c>
      <c r="J192" t="s">
        <v>183</v>
      </c>
      <c r="K19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700K-800K</v>
      </c>
    </row>
    <row r="193" spans="1:15" x14ac:dyDescent="0.75">
      <c r="A193" t="s">
        <v>276</v>
      </c>
      <c r="B193" t="s">
        <v>11</v>
      </c>
      <c r="C193" t="s">
        <v>24</v>
      </c>
      <c r="D193" t="s">
        <v>13</v>
      </c>
      <c r="E193" t="s">
        <v>13</v>
      </c>
      <c r="F193" t="s">
        <v>14</v>
      </c>
      <c r="G193">
        <v>998000</v>
      </c>
      <c r="H193" s="1">
        <v>45642</v>
      </c>
      <c r="I193" t="s">
        <v>182</v>
      </c>
      <c r="J193" t="s">
        <v>183</v>
      </c>
      <c r="K19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900K-1M</v>
      </c>
    </row>
    <row r="194" spans="1:15" x14ac:dyDescent="0.75">
      <c r="A194" t="s">
        <v>277</v>
      </c>
      <c r="B194" t="s">
        <v>18</v>
      </c>
      <c r="C194" t="s">
        <v>234</v>
      </c>
      <c r="D194" t="s">
        <v>31</v>
      </c>
      <c r="E194" t="s">
        <v>13</v>
      </c>
      <c r="F194" t="s">
        <v>24</v>
      </c>
      <c r="G194">
        <v>3470000</v>
      </c>
      <c r="H194" s="1">
        <v>45642</v>
      </c>
      <c r="I194" t="s">
        <v>182</v>
      </c>
      <c r="J194" t="s">
        <v>183</v>
      </c>
      <c r="K19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95" spans="1:15" x14ac:dyDescent="0.75">
      <c r="A195" t="s">
        <v>278</v>
      </c>
      <c r="B195" t="s">
        <v>18</v>
      </c>
      <c r="C195" t="s">
        <v>234</v>
      </c>
      <c r="D195" t="s">
        <v>31</v>
      </c>
      <c r="E195" t="s">
        <v>13</v>
      </c>
      <c r="F195" t="s">
        <v>13</v>
      </c>
      <c r="G195">
        <v>4300000</v>
      </c>
      <c r="H195" s="1">
        <v>45642</v>
      </c>
      <c r="I195" t="s">
        <v>182</v>
      </c>
      <c r="J195" t="s">
        <v>183</v>
      </c>
      <c r="K19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196" spans="1:15" x14ac:dyDescent="0.75">
      <c r="A196" t="s">
        <v>279</v>
      </c>
      <c r="B196" t="s">
        <v>11</v>
      </c>
      <c r="C196" t="s">
        <v>280</v>
      </c>
      <c r="D196" t="s">
        <v>13</v>
      </c>
      <c r="E196" t="s">
        <v>13</v>
      </c>
      <c r="F196" t="s">
        <v>24</v>
      </c>
      <c r="G196">
        <v>780000</v>
      </c>
      <c r="H196" s="1">
        <v>45639</v>
      </c>
      <c r="I196" t="s">
        <v>182</v>
      </c>
      <c r="J196" t="s">
        <v>183</v>
      </c>
      <c r="K19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700K-800K</v>
      </c>
      <c r="O196" t="s">
        <v>300</v>
      </c>
    </row>
    <row r="197" spans="1:15" x14ac:dyDescent="0.75">
      <c r="A197" t="s">
        <v>281</v>
      </c>
      <c r="B197" t="s">
        <v>11</v>
      </c>
      <c r="C197" t="s">
        <v>24</v>
      </c>
      <c r="D197" t="s">
        <v>13</v>
      </c>
      <c r="E197" t="s">
        <v>13</v>
      </c>
      <c r="F197" t="s">
        <v>14</v>
      </c>
      <c r="G197">
        <v>950000</v>
      </c>
      <c r="H197" s="1">
        <v>45639</v>
      </c>
      <c r="I197" t="s">
        <v>182</v>
      </c>
      <c r="J197" t="s">
        <v>183</v>
      </c>
      <c r="K19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900K-1M</v>
      </c>
    </row>
    <row r="198" spans="1:15" x14ac:dyDescent="0.75">
      <c r="A198" t="s">
        <v>282</v>
      </c>
      <c r="B198" t="s">
        <v>11</v>
      </c>
      <c r="C198" t="s">
        <v>24</v>
      </c>
      <c r="D198" t="s">
        <v>13</v>
      </c>
      <c r="E198" t="s">
        <v>13</v>
      </c>
      <c r="F198" t="s">
        <v>14</v>
      </c>
      <c r="G198">
        <v>1000000</v>
      </c>
      <c r="H198" s="1">
        <v>45637</v>
      </c>
      <c r="I198" t="s">
        <v>182</v>
      </c>
      <c r="J198" t="s">
        <v>183</v>
      </c>
      <c r="K19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900K-1M</v>
      </c>
    </row>
    <row r="199" spans="1:15" x14ac:dyDescent="0.75">
      <c r="A199" t="s">
        <v>283</v>
      </c>
      <c r="B199" t="s">
        <v>11</v>
      </c>
      <c r="C199" t="s">
        <v>24</v>
      </c>
      <c r="D199" t="s">
        <v>13</v>
      </c>
      <c r="E199" t="s">
        <v>13</v>
      </c>
      <c r="F199" t="s">
        <v>14</v>
      </c>
      <c r="G199">
        <v>980000</v>
      </c>
      <c r="H199" s="1">
        <v>45637</v>
      </c>
      <c r="I199" t="s">
        <v>182</v>
      </c>
      <c r="J199" t="s">
        <v>183</v>
      </c>
      <c r="K19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900K-1M</v>
      </c>
    </row>
    <row r="200" spans="1:15" x14ac:dyDescent="0.75">
      <c r="A200" t="s">
        <v>284</v>
      </c>
      <c r="B200" t="s">
        <v>18</v>
      </c>
      <c r="C200" t="s">
        <v>285</v>
      </c>
      <c r="D200" t="s">
        <v>29</v>
      </c>
      <c r="E200" t="s">
        <v>14</v>
      </c>
      <c r="F200" t="s">
        <v>14</v>
      </c>
      <c r="G200">
        <v>1860000</v>
      </c>
      <c r="H200" s="1">
        <v>45636</v>
      </c>
      <c r="I200" t="s">
        <v>182</v>
      </c>
      <c r="J200" t="s">
        <v>183</v>
      </c>
      <c r="K20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01" spans="1:15" x14ac:dyDescent="0.75">
      <c r="A201" t="s">
        <v>286</v>
      </c>
      <c r="B201" t="s">
        <v>11</v>
      </c>
      <c r="C201" t="s">
        <v>287</v>
      </c>
      <c r="D201" t="s">
        <v>13</v>
      </c>
      <c r="E201" t="s">
        <v>13</v>
      </c>
      <c r="F201" t="s">
        <v>14</v>
      </c>
      <c r="G201">
        <v>885000</v>
      </c>
      <c r="H201" s="1">
        <v>45636</v>
      </c>
      <c r="I201" t="s">
        <v>182</v>
      </c>
      <c r="J201" t="s">
        <v>183</v>
      </c>
      <c r="K20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800K-900K</v>
      </c>
    </row>
    <row r="202" spans="1:15" x14ac:dyDescent="0.75">
      <c r="A202" t="s">
        <v>288</v>
      </c>
      <c r="B202" t="s">
        <v>11</v>
      </c>
      <c r="C202" t="s">
        <v>24</v>
      </c>
      <c r="D202" t="s">
        <v>24</v>
      </c>
      <c r="E202" t="s">
        <v>24</v>
      </c>
      <c r="F202" t="s">
        <v>24</v>
      </c>
      <c r="G202">
        <v>720000</v>
      </c>
      <c r="H202" s="1">
        <v>45635</v>
      </c>
      <c r="I202" t="s">
        <v>182</v>
      </c>
      <c r="J202" t="s">
        <v>183</v>
      </c>
      <c r="K20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700K-800K</v>
      </c>
    </row>
    <row r="203" spans="1:15" x14ac:dyDescent="0.75">
      <c r="A203" t="s">
        <v>289</v>
      </c>
      <c r="B203" t="s">
        <v>18</v>
      </c>
      <c r="C203" t="s">
        <v>34</v>
      </c>
      <c r="D203" t="s">
        <v>13</v>
      </c>
      <c r="E203" t="s">
        <v>14</v>
      </c>
      <c r="F203" t="s">
        <v>24</v>
      </c>
      <c r="G203">
        <v>1586000</v>
      </c>
      <c r="H203" s="1">
        <v>45635</v>
      </c>
      <c r="I203" t="s">
        <v>182</v>
      </c>
      <c r="J203" t="s">
        <v>183</v>
      </c>
      <c r="K20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04" spans="1:15" x14ac:dyDescent="0.75">
      <c r="A204" t="s">
        <v>290</v>
      </c>
      <c r="B204" t="s">
        <v>18</v>
      </c>
      <c r="C204" t="s">
        <v>187</v>
      </c>
      <c r="D204" t="s">
        <v>31</v>
      </c>
      <c r="E204" t="s">
        <v>29</v>
      </c>
      <c r="F204" t="s">
        <v>31</v>
      </c>
      <c r="G204">
        <v>3265000</v>
      </c>
      <c r="H204" s="1">
        <v>45635</v>
      </c>
      <c r="I204" t="s">
        <v>182</v>
      </c>
      <c r="J204" t="s">
        <v>183</v>
      </c>
      <c r="K20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05" spans="1:15" x14ac:dyDescent="0.75">
      <c r="A205" t="s">
        <v>10</v>
      </c>
      <c r="B205" t="s">
        <v>11</v>
      </c>
      <c r="C205" t="s">
        <v>12</v>
      </c>
      <c r="D205" t="s">
        <v>13</v>
      </c>
      <c r="E205" t="s">
        <v>13</v>
      </c>
      <c r="F205" t="s">
        <v>14</v>
      </c>
      <c r="G205">
        <v>582000</v>
      </c>
      <c r="H205" s="1">
        <v>45720</v>
      </c>
      <c r="K20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206" spans="1:15" x14ac:dyDescent="0.75">
      <c r="A206" t="s">
        <v>17</v>
      </c>
      <c r="B206" t="s">
        <v>18</v>
      </c>
      <c r="C206" t="s">
        <v>19</v>
      </c>
      <c r="D206" t="s">
        <v>20</v>
      </c>
      <c r="E206" t="s">
        <v>13</v>
      </c>
      <c r="F206" t="s">
        <v>14</v>
      </c>
      <c r="G206">
        <v>1588000</v>
      </c>
      <c r="H206" s="1">
        <v>45717</v>
      </c>
      <c r="K20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07" spans="1:15" x14ac:dyDescent="0.75">
      <c r="A207" t="s">
        <v>21</v>
      </c>
      <c r="B207" t="s">
        <v>18</v>
      </c>
      <c r="C207" t="s">
        <v>22</v>
      </c>
      <c r="D207" t="s">
        <v>20</v>
      </c>
      <c r="E207" t="s">
        <v>13</v>
      </c>
      <c r="F207" t="s">
        <v>13</v>
      </c>
      <c r="G207">
        <v>2350000</v>
      </c>
      <c r="H207" s="1">
        <v>45716</v>
      </c>
      <c r="K20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08" spans="1:15" x14ac:dyDescent="0.75">
      <c r="A208" t="s">
        <v>23</v>
      </c>
      <c r="B208" t="s">
        <v>11</v>
      </c>
      <c r="C208" t="s">
        <v>22</v>
      </c>
      <c r="D208" t="s">
        <v>13</v>
      </c>
      <c r="E208" t="s">
        <v>13</v>
      </c>
      <c r="F208" t="s">
        <v>24</v>
      </c>
      <c r="G208">
        <v>587000</v>
      </c>
      <c r="H208" s="1">
        <v>45716</v>
      </c>
      <c r="K20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209" spans="1:11" x14ac:dyDescent="0.75">
      <c r="A209" t="s">
        <v>25</v>
      </c>
      <c r="B209" t="s">
        <v>11</v>
      </c>
      <c r="C209" t="s">
        <v>26</v>
      </c>
      <c r="D209" t="s">
        <v>13</v>
      </c>
      <c r="E209" t="s">
        <v>13</v>
      </c>
      <c r="F209" t="s">
        <v>24</v>
      </c>
      <c r="G209">
        <v>510000</v>
      </c>
      <c r="H209" s="1">
        <v>45713</v>
      </c>
      <c r="K20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210" spans="1:11" x14ac:dyDescent="0.75">
      <c r="A210" t="s">
        <v>27</v>
      </c>
      <c r="B210" t="s">
        <v>18</v>
      </c>
      <c r="C210" t="s">
        <v>28</v>
      </c>
      <c r="D210" t="s">
        <v>29</v>
      </c>
      <c r="E210" t="s">
        <v>13</v>
      </c>
      <c r="F210" t="s">
        <v>14</v>
      </c>
      <c r="G210">
        <v>1266666</v>
      </c>
      <c r="H210" s="1">
        <v>45712</v>
      </c>
      <c r="K21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11" spans="1:11" x14ac:dyDescent="0.75">
      <c r="A211" t="s">
        <v>30</v>
      </c>
      <c r="B211" t="s">
        <v>18</v>
      </c>
      <c r="C211" t="s">
        <v>22</v>
      </c>
      <c r="D211" t="s">
        <v>31</v>
      </c>
      <c r="E211" t="s">
        <v>13</v>
      </c>
      <c r="F211" t="s">
        <v>13</v>
      </c>
      <c r="G211">
        <v>1976000</v>
      </c>
      <c r="H211" s="1">
        <v>45712</v>
      </c>
      <c r="K21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12" spans="1:11" x14ac:dyDescent="0.75">
      <c r="A212" t="s">
        <v>32</v>
      </c>
      <c r="B212" t="s">
        <v>11</v>
      </c>
      <c r="C212" t="s">
        <v>22</v>
      </c>
      <c r="D212" t="s">
        <v>13</v>
      </c>
      <c r="E212" t="s">
        <v>14</v>
      </c>
      <c r="F212" t="s">
        <v>14</v>
      </c>
      <c r="G212">
        <v>490000</v>
      </c>
      <c r="H212" s="1">
        <v>45712</v>
      </c>
      <c r="K21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213" spans="1:11" x14ac:dyDescent="0.75">
      <c r="A213" t="s">
        <v>33</v>
      </c>
      <c r="B213" t="s">
        <v>11</v>
      </c>
      <c r="C213" t="s">
        <v>34</v>
      </c>
      <c r="D213" t="s">
        <v>29</v>
      </c>
      <c r="E213" t="s">
        <v>13</v>
      </c>
      <c r="F213" t="s">
        <v>24</v>
      </c>
      <c r="G213">
        <v>670000</v>
      </c>
      <c r="H213" s="1">
        <v>45712</v>
      </c>
      <c r="K21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214" spans="1:11" x14ac:dyDescent="0.75">
      <c r="A214" t="s">
        <v>35</v>
      </c>
      <c r="B214" t="s">
        <v>11</v>
      </c>
      <c r="C214" t="s">
        <v>24</v>
      </c>
      <c r="D214" t="s">
        <v>29</v>
      </c>
      <c r="E214" t="s">
        <v>13</v>
      </c>
      <c r="F214" t="s">
        <v>14</v>
      </c>
      <c r="G214">
        <v>680000</v>
      </c>
      <c r="H214" s="1">
        <v>45712</v>
      </c>
      <c r="K21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215" spans="1:11" x14ac:dyDescent="0.75">
      <c r="A215" t="s">
        <v>36</v>
      </c>
      <c r="B215" t="s">
        <v>18</v>
      </c>
      <c r="C215" t="s">
        <v>37</v>
      </c>
      <c r="D215" t="s">
        <v>38</v>
      </c>
      <c r="E215" t="s">
        <v>31</v>
      </c>
      <c r="F215" t="s">
        <v>13</v>
      </c>
      <c r="G215">
        <v>2220000</v>
      </c>
      <c r="H215" s="1">
        <v>45709</v>
      </c>
      <c r="K21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16" spans="1:11" x14ac:dyDescent="0.75">
      <c r="A216" t="s">
        <v>39</v>
      </c>
      <c r="B216" t="s">
        <v>11</v>
      </c>
      <c r="C216" t="s">
        <v>22</v>
      </c>
      <c r="D216" t="s">
        <v>13</v>
      </c>
      <c r="E216" t="s">
        <v>14</v>
      </c>
      <c r="F216" t="s">
        <v>14</v>
      </c>
      <c r="G216">
        <v>475000</v>
      </c>
      <c r="H216" s="1">
        <v>45709</v>
      </c>
      <c r="K21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217" spans="1:11" x14ac:dyDescent="0.75">
      <c r="A217" t="s">
        <v>40</v>
      </c>
      <c r="B217" t="s">
        <v>11</v>
      </c>
      <c r="C217" t="s">
        <v>41</v>
      </c>
      <c r="D217" t="s">
        <v>13</v>
      </c>
      <c r="E217" t="s">
        <v>14</v>
      </c>
      <c r="F217" t="s">
        <v>14</v>
      </c>
      <c r="G217">
        <v>450000</v>
      </c>
      <c r="H217" s="1">
        <v>45709</v>
      </c>
      <c r="K21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218" spans="1:11" x14ac:dyDescent="0.75">
      <c r="A218" t="s">
        <v>42</v>
      </c>
      <c r="B218" t="s">
        <v>11</v>
      </c>
      <c r="C218" t="s">
        <v>19</v>
      </c>
      <c r="D218" t="s">
        <v>29</v>
      </c>
      <c r="E218" t="s">
        <v>13</v>
      </c>
      <c r="F218" t="s">
        <v>14</v>
      </c>
      <c r="G218">
        <v>640000</v>
      </c>
      <c r="H218" s="1">
        <v>45709</v>
      </c>
      <c r="K21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219" spans="1:11" x14ac:dyDescent="0.75">
      <c r="A219" t="s">
        <v>43</v>
      </c>
      <c r="B219" t="s">
        <v>18</v>
      </c>
      <c r="C219" t="s">
        <v>22</v>
      </c>
      <c r="D219" t="s">
        <v>29</v>
      </c>
      <c r="E219" t="s">
        <v>13</v>
      </c>
      <c r="F219" t="s">
        <v>14</v>
      </c>
      <c r="G219">
        <v>1590000</v>
      </c>
      <c r="H219" s="1">
        <v>45709</v>
      </c>
      <c r="K21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20" spans="1:11" x14ac:dyDescent="0.75">
      <c r="A220" t="s">
        <v>44</v>
      </c>
      <c r="B220" t="s">
        <v>18</v>
      </c>
      <c r="C220" t="s">
        <v>28</v>
      </c>
      <c r="D220" t="s">
        <v>31</v>
      </c>
      <c r="E220" t="s">
        <v>14</v>
      </c>
      <c r="F220" t="s">
        <v>31</v>
      </c>
      <c r="G220">
        <v>1690000</v>
      </c>
      <c r="H220" s="1">
        <v>45709</v>
      </c>
      <c r="K22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21" spans="1:11" x14ac:dyDescent="0.75">
      <c r="A221" t="s">
        <v>45</v>
      </c>
      <c r="B221" t="s">
        <v>18</v>
      </c>
      <c r="C221" t="s">
        <v>24</v>
      </c>
      <c r="D221" t="s">
        <v>31</v>
      </c>
      <c r="E221" t="s">
        <v>13</v>
      </c>
      <c r="F221" t="s">
        <v>14</v>
      </c>
      <c r="G221">
        <v>550000</v>
      </c>
      <c r="H221" s="1">
        <v>45709</v>
      </c>
      <c r="K22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222" spans="1:11" x14ac:dyDescent="0.75">
      <c r="A222" t="s">
        <v>46</v>
      </c>
      <c r="B222" t="s">
        <v>18</v>
      </c>
      <c r="C222" t="s">
        <v>47</v>
      </c>
      <c r="D222" t="s">
        <v>29</v>
      </c>
      <c r="E222" t="s">
        <v>14</v>
      </c>
      <c r="F222" t="s">
        <v>24</v>
      </c>
      <c r="G222">
        <v>1305000</v>
      </c>
      <c r="H222" s="1">
        <v>45708</v>
      </c>
      <c r="K22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23" spans="1:11" x14ac:dyDescent="0.75">
      <c r="A223" t="s">
        <v>48</v>
      </c>
      <c r="B223" t="s">
        <v>11</v>
      </c>
      <c r="C223" t="s">
        <v>49</v>
      </c>
      <c r="D223" t="s">
        <v>13</v>
      </c>
      <c r="E223" t="s">
        <v>13</v>
      </c>
      <c r="F223" t="s">
        <v>14</v>
      </c>
      <c r="G223">
        <v>715000</v>
      </c>
      <c r="H223" s="1">
        <v>45707</v>
      </c>
      <c r="K22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700K-800K</v>
      </c>
    </row>
    <row r="224" spans="1:11" x14ac:dyDescent="0.75">
      <c r="A224" t="s">
        <v>50</v>
      </c>
      <c r="B224" t="s">
        <v>18</v>
      </c>
      <c r="C224" t="s">
        <v>22</v>
      </c>
      <c r="D224" t="s">
        <v>13</v>
      </c>
      <c r="E224" t="s">
        <v>14</v>
      </c>
      <c r="F224" t="s">
        <v>14</v>
      </c>
      <c r="G224">
        <v>1030000</v>
      </c>
      <c r="H224" s="1">
        <v>45705</v>
      </c>
      <c r="K22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25" spans="1:11" x14ac:dyDescent="0.75">
      <c r="A225" t="s">
        <v>51</v>
      </c>
      <c r="B225" t="s">
        <v>11</v>
      </c>
      <c r="C225" t="s">
        <v>24</v>
      </c>
      <c r="D225" t="s">
        <v>14</v>
      </c>
      <c r="E225" t="s">
        <v>14</v>
      </c>
      <c r="F225" t="s">
        <v>14</v>
      </c>
      <c r="G225">
        <v>415000</v>
      </c>
      <c r="H225" s="1">
        <v>45705</v>
      </c>
      <c r="K22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226" spans="1:11" x14ac:dyDescent="0.75">
      <c r="A226" t="s">
        <v>52</v>
      </c>
      <c r="B226" t="s">
        <v>11</v>
      </c>
      <c r="C226" t="s">
        <v>53</v>
      </c>
      <c r="D226" t="s">
        <v>31</v>
      </c>
      <c r="E226" t="s">
        <v>29</v>
      </c>
      <c r="F226" t="s">
        <v>24</v>
      </c>
      <c r="G226">
        <v>1120000</v>
      </c>
      <c r="H226" s="1">
        <v>45705</v>
      </c>
      <c r="K22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27" spans="1:11" x14ac:dyDescent="0.75">
      <c r="A227" t="s">
        <v>54</v>
      </c>
      <c r="B227" t="s">
        <v>18</v>
      </c>
      <c r="C227" t="s">
        <v>22</v>
      </c>
      <c r="D227" t="s">
        <v>29</v>
      </c>
      <c r="E227" t="s">
        <v>29</v>
      </c>
      <c r="F227" t="s">
        <v>14</v>
      </c>
      <c r="G227">
        <v>1905000</v>
      </c>
      <c r="H227" s="1">
        <v>45702</v>
      </c>
      <c r="K22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28" spans="1:11" x14ac:dyDescent="0.75">
      <c r="A228" t="s">
        <v>55</v>
      </c>
      <c r="B228" t="s">
        <v>11</v>
      </c>
      <c r="C228" t="s">
        <v>56</v>
      </c>
      <c r="D228" t="s">
        <v>29</v>
      </c>
      <c r="E228" t="s">
        <v>13</v>
      </c>
      <c r="F228" t="s">
        <v>24</v>
      </c>
      <c r="G228">
        <v>700000</v>
      </c>
      <c r="H228" s="1">
        <v>45702</v>
      </c>
      <c r="K22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229" spans="1:11" x14ac:dyDescent="0.75">
      <c r="A229" t="s">
        <v>57</v>
      </c>
      <c r="B229" t="s">
        <v>18</v>
      </c>
      <c r="C229" t="s">
        <v>22</v>
      </c>
      <c r="D229" t="s">
        <v>13</v>
      </c>
      <c r="E229" t="s">
        <v>14</v>
      </c>
      <c r="F229" t="s">
        <v>14</v>
      </c>
      <c r="G229">
        <v>370000</v>
      </c>
      <c r="H229" s="1">
        <v>45702</v>
      </c>
      <c r="K22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300K-400K</v>
      </c>
    </row>
    <row r="230" spans="1:11" x14ac:dyDescent="0.75">
      <c r="A230" t="s">
        <v>58</v>
      </c>
      <c r="B230" t="s">
        <v>18</v>
      </c>
      <c r="C230" t="s">
        <v>41</v>
      </c>
      <c r="D230" t="s">
        <v>20</v>
      </c>
      <c r="E230" t="s">
        <v>13</v>
      </c>
      <c r="F230" t="s">
        <v>14</v>
      </c>
      <c r="G230">
        <v>1905000</v>
      </c>
      <c r="H230" s="1">
        <v>45701</v>
      </c>
      <c r="K23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31" spans="1:11" x14ac:dyDescent="0.75">
      <c r="A231" t="s">
        <v>59</v>
      </c>
      <c r="B231" t="s">
        <v>18</v>
      </c>
      <c r="C231" t="s">
        <v>24</v>
      </c>
      <c r="D231" t="s">
        <v>13</v>
      </c>
      <c r="E231" t="s">
        <v>13</v>
      </c>
      <c r="F231" t="s">
        <v>14</v>
      </c>
      <c r="G231">
        <v>650000</v>
      </c>
      <c r="H231" s="1">
        <v>45701</v>
      </c>
      <c r="K23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232" spans="1:11" x14ac:dyDescent="0.75">
      <c r="A232" t="s">
        <v>60</v>
      </c>
      <c r="B232" t="s">
        <v>11</v>
      </c>
      <c r="C232" t="s">
        <v>26</v>
      </c>
      <c r="D232" t="s">
        <v>13</v>
      </c>
      <c r="E232" t="s">
        <v>14</v>
      </c>
      <c r="F232" t="s">
        <v>14</v>
      </c>
      <c r="G232">
        <v>475000</v>
      </c>
      <c r="H232" s="1">
        <v>45701</v>
      </c>
      <c r="K23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233" spans="1:11" x14ac:dyDescent="0.75">
      <c r="A233" t="s">
        <v>61</v>
      </c>
      <c r="B233" t="s">
        <v>18</v>
      </c>
      <c r="C233" t="s">
        <v>22</v>
      </c>
      <c r="D233" t="s">
        <v>29</v>
      </c>
      <c r="E233" t="s">
        <v>14</v>
      </c>
      <c r="F233" t="s">
        <v>14</v>
      </c>
      <c r="G233">
        <v>1280000</v>
      </c>
      <c r="H233" s="1">
        <v>45700</v>
      </c>
      <c r="K23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34" spans="1:11" x14ac:dyDescent="0.75">
      <c r="A234" t="s">
        <v>62</v>
      </c>
      <c r="B234" t="s">
        <v>18</v>
      </c>
      <c r="C234" t="s">
        <v>63</v>
      </c>
      <c r="D234" t="s">
        <v>24</v>
      </c>
      <c r="E234" t="s">
        <v>24</v>
      </c>
      <c r="F234" t="s">
        <v>24</v>
      </c>
      <c r="G234">
        <v>8500000</v>
      </c>
      <c r="H234" s="1">
        <v>45700</v>
      </c>
      <c r="K23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35" spans="1:11" x14ac:dyDescent="0.75">
      <c r="A235" t="s">
        <v>64</v>
      </c>
      <c r="B235" t="s">
        <v>18</v>
      </c>
      <c r="C235" t="s">
        <v>24</v>
      </c>
      <c r="D235" t="s">
        <v>29</v>
      </c>
      <c r="E235" t="s">
        <v>14</v>
      </c>
      <c r="F235" t="s">
        <v>24</v>
      </c>
      <c r="G235">
        <v>8500000</v>
      </c>
      <c r="H235" s="1">
        <v>45700</v>
      </c>
      <c r="K23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36" spans="1:11" x14ac:dyDescent="0.75">
      <c r="A236" t="s">
        <v>65</v>
      </c>
      <c r="B236" t="s">
        <v>11</v>
      </c>
      <c r="C236" t="s">
        <v>24</v>
      </c>
      <c r="D236" t="s">
        <v>13</v>
      </c>
      <c r="E236" t="s">
        <v>14</v>
      </c>
      <c r="F236" t="s">
        <v>14</v>
      </c>
      <c r="G236">
        <v>428000</v>
      </c>
      <c r="H236" s="1">
        <v>45698</v>
      </c>
      <c r="K23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237" spans="1:11" x14ac:dyDescent="0.75">
      <c r="A237" t="s">
        <v>66</v>
      </c>
      <c r="B237" t="s">
        <v>11</v>
      </c>
      <c r="C237" t="s">
        <v>67</v>
      </c>
      <c r="D237" t="s">
        <v>13</v>
      </c>
      <c r="E237" t="s">
        <v>13</v>
      </c>
      <c r="F237" t="s">
        <v>13</v>
      </c>
      <c r="G237">
        <v>570000</v>
      </c>
      <c r="H237" s="1">
        <v>45698</v>
      </c>
      <c r="K23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238" spans="1:11" x14ac:dyDescent="0.75">
      <c r="A238" t="s">
        <v>68</v>
      </c>
      <c r="B238" t="s">
        <v>11</v>
      </c>
      <c r="C238" t="s">
        <v>24</v>
      </c>
      <c r="D238" t="s">
        <v>13</v>
      </c>
      <c r="E238" t="s">
        <v>13</v>
      </c>
      <c r="F238" t="s">
        <v>24</v>
      </c>
      <c r="G238">
        <v>490000</v>
      </c>
      <c r="H238" s="1">
        <v>45695</v>
      </c>
      <c r="K23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239" spans="1:11" x14ac:dyDescent="0.75">
      <c r="A239" t="s">
        <v>69</v>
      </c>
      <c r="B239" t="s">
        <v>18</v>
      </c>
      <c r="C239" t="s">
        <v>22</v>
      </c>
      <c r="D239" t="s">
        <v>20</v>
      </c>
      <c r="E239" t="s">
        <v>29</v>
      </c>
      <c r="F239" t="s">
        <v>13</v>
      </c>
      <c r="G239">
        <v>2400000</v>
      </c>
      <c r="H239" s="1">
        <v>45695</v>
      </c>
      <c r="K23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40" spans="1:11" x14ac:dyDescent="0.75">
      <c r="A240" t="s">
        <v>70</v>
      </c>
      <c r="B240" t="s">
        <v>11</v>
      </c>
      <c r="C240" t="s">
        <v>71</v>
      </c>
      <c r="D240" t="s">
        <v>13</v>
      </c>
      <c r="E240" t="s">
        <v>13</v>
      </c>
      <c r="F240" t="s">
        <v>24</v>
      </c>
      <c r="G240">
        <v>642500</v>
      </c>
      <c r="H240" s="1">
        <v>45695</v>
      </c>
      <c r="K24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241" spans="1:11" x14ac:dyDescent="0.75">
      <c r="A241" t="s">
        <v>72</v>
      </c>
      <c r="B241" t="s">
        <v>11</v>
      </c>
      <c r="C241" t="s">
        <v>24</v>
      </c>
      <c r="D241" t="s">
        <v>14</v>
      </c>
      <c r="E241" t="s">
        <v>14</v>
      </c>
      <c r="F241" t="s">
        <v>24</v>
      </c>
      <c r="G241">
        <v>537000</v>
      </c>
      <c r="H241" s="1">
        <v>45694</v>
      </c>
      <c r="K24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242" spans="1:11" x14ac:dyDescent="0.75">
      <c r="A242" t="s">
        <v>73</v>
      </c>
      <c r="B242" t="s">
        <v>11</v>
      </c>
      <c r="C242" t="s">
        <v>24</v>
      </c>
      <c r="D242" t="s">
        <v>24</v>
      </c>
      <c r="E242" t="s">
        <v>24</v>
      </c>
      <c r="F242" t="s">
        <v>13</v>
      </c>
      <c r="G242">
        <v>1580000</v>
      </c>
      <c r="H242" s="1">
        <v>45693</v>
      </c>
      <c r="K24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43" spans="1:11" x14ac:dyDescent="0.75">
      <c r="A243" t="s">
        <v>74</v>
      </c>
      <c r="B243" t="s">
        <v>11</v>
      </c>
      <c r="C243" t="s">
        <v>24</v>
      </c>
      <c r="D243" t="s">
        <v>31</v>
      </c>
      <c r="E243" t="s">
        <v>13</v>
      </c>
      <c r="F243" t="s">
        <v>13</v>
      </c>
      <c r="G243">
        <v>170000</v>
      </c>
      <c r="H243" s="1">
        <v>45693</v>
      </c>
      <c r="K243">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0</v>
      </c>
    </row>
    <row r="244" spans="1:11" x14ac:dyDescent="0.75">
      <c r="A244" t="s">
        <v>75</v>
      </c>
      <c r="B244" t="s">
        <v>18</v>
      </c>
      <c r="C244" t="s">
        <v>76</v>
      </c>
      <c r="D244" t="s">
        <v>29</v>
      </c>
      <c r="E244" t="s">
        <v>29</v>
      </c>
      <c r="F244" t="s">
        <v>14</v>
      </c>
      <c r="G244">
        <v>1360000</v>
      </c>
      <c r="H244" s="1">
        <v>45693</v>
      </c>
      <c r="K24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45" spans="1:11" x14ac:dyDescent="0.75">
      <c r="A245" t="s">
        <v>77</v>
      </c>
      <c r="B245" t="s">
        <v>11</v>
      </c>
      <c r="C245" t="s">
        <v>22</v>
      </c>
      <c r="D245" t="s">
        <v>29</v>
      </c>
      <c r="E245" t="s">
        <v>13</v>
      </c>
      <c r="F245" t="s">
        <v>14</v>
      </c>
      <c r="G245">
        <v>659000</v>
      </c>
      <c r="H245" s="1">
        <v>45693</v>
      </c>
      <c r="K24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246" spans="1:11" x14ac:dyDescent="0.75">
      <c r="A246" t="s">
        <v>78</v>
      </c>
      <c r="B246" t="s">
        <v>11</v>
      </c>
      <c r="C246" t="s">
        <v>79</v>
      </c>
      <c r="D246" t="s">
        <v>14</v>
      </c>
      <c r="E246" t="s">
        <v>14</v>
      </c>
      <c r="F246" t="s">
        <v>14</v>
      </c>
      <c r="G246">
        <v>365000</v>
      </c>
      <c r="H246" s="1">
        <v>45691</v>
      </c>
      <c r="K24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300K-400K</v>
      </c>
    </row>
    <row r="247" spans="1:11" x14ac:dyDescent="0.75">
      <c r="A247" t="s">
        <v>80</v>
      </c>
      <c r="B247" t="s">
        <v>11</v>
      </c>
      <c r="C247" t="s">
        <v>22</v>
      </c>
      <c r="D247" t="s">
        <v>14</v>
      </c>
      <c r="E247" t="s">
        <v>14</v>
      </c>
      <c r="F247" t="s">
        <v>14</v>
      </c>
      <c r="G247">
        <v>418000</v>
      </c>
      <c r="H247" s="1">
        <v>45691</v>
      </c>
      <c r="K24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248" spans="1:11" x14ac:dyDescent="0.75">
      <c r="A248" t="s">
        <v>81</v>
      </c>
      <c r="B248" t="s">
        <v>11</v>
      </c>
      <c r="C248" t="s">
        <v>82</v>
      </c>
      <c r="D248" t="s">
        <v>29</v>
      </c>
      <c r="E248" t="s">
        <v>13</v>
      </c>
      <c r="F248" t="s">
        <v>14</v>
      </c>
      <c r="G248">
        <v>875000</v>
      </c>
      <c r="H248" s="1">
        <v>45691</v>
      </c>
      <c r="K24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800K-900K</v>
      </c>
    </row>
    <row r="249" spans="1:11" x14ac:dyDescent="0.75">
      <c r="A249" t="s">
        <v>83</v>
      </c>
      <c r="B249" t="s">
        <v>11</v>
      </c>
      <c r="C249" t="s">
        <v>41</v>
      </c>
      <c r="D249" t="s">
        <v>13</v>
      </c>
      <c r="E249" t="s">
        <v>14</v>
      </c>
      <c r="F249" t="s">
        <v>14</v>
      </c>
      <c r="G249">
        <v>420000</v>
      </c>
      <c r="H249" s="1">
        <v>45691</v>
      </c>
      <c r="K24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250" spans="1:11" x14ac:dyDescent="0.75">
      <c r="A250" t="s">
        <v>84</v>
      </c>
      <c r="B250" t="s">
        <v>11</v>
      </c>
      <c r="C250" t="s">
        <v>85</v>
      </c>
      <c r="D250" t="s">
        <v>13</v>
      </c>
      <c r="E250" t="s">
        <v>14</v>
      </c>
      <c r="F250" t="s">
        <v>24</v>
      </c>
      <c r="G250">
        <v>568000</v>
      </c>
      <c r="H250" s="1">
        <v>45689</v>
      </c>
      <c r="K25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251" spans="1:11" x14ac:dyDescent="0.75">
      <c r="A251" t="s">
        <v>86</v>
      </c>
      <c r="B251" t="s">
        <v>18</v>
      </c>
      <c r="C251" t="s">
        <v>87</v>
      </c>
      <c r="D251" t="s">
        <v>29</v>
      </c>
      <c r="E251" t="s">
        <v>14</v>
      </c>
      <c r="F251" t="s">
        <v>13</v>
      </c>
      <c r="G251">
        <v>1202000</v>
      </c>
      <c r="H251" s="1">
        <v>45688</v>
      </c>
      <c r="K25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52" spans="1:11" x14ac:dyDescent="0.75">
      <c r="A252" t="s">
        <v>88</v>
      </c>
      <c r="B252" t="s">
        <v>11</v>
      </c>
      <c r="C252" t="s">
        <v>26</v>
      </c>
      <c r="D252" t="s">
        <v>13</v>
      </c>
      <c r="E252" t="s">
        <v>14</v>
      </c>
      <c r="F252" t="s">
        <v>24</v>
      </c>
      <c r="G252">
        <v>478888</v>
      </c>
      <c r="H252" s="1">
        <v>45688</v>
      </c>
      <c r="K25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253" spans="1:11" x14ac:dyDescent="0.75">
      <c r="A253" t="s">
        <v>89</v>
      </c>
      <c r="B253" t="s">
        <v>18</v>
      </c>
      <c r="C253" t="s">
        <v>90</v>
      </c>
      <c r="D253" t="s">
        <v>29</v>
      </c>
      <c r="E253" t="s">
        <v>14</v>
      </c>
      <c r="F253" t="s">
        <v>14</v>
      </c>
      <c r="G253">
        <v>1700000</v>
      </c>
      <c r="H253" s="1">
        <v>45688</v>
      </c>
      <c r="K25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54" spans="1:11" x14ac:dyDescent="0.75">
      <c r="A254" t="s">
        <v>91</v>
      </c>
      <c r="B254" t="s">
        <v>18</v>
      </c>
      <c r="C254" t="s">
        <v>92</v>
      </c>
      <c r="D254" t="s">
        <v>31</v>
      </c>
      <c r="E254" t="s">
        <v>14</v>
      </c>
      <c r="F254" t="s">
        <v>14</v>
      </c>
      <c r="G254">
        <v>1800000</v>
      </c>
      <c r="H254" s="1">
        <v>45688</v>
      </c>
      <c r="K25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55" spans="1:11" x14ac:dyDescent="0.75">
      <c r="A255" t="s">
        <v>93</v>
      </c>
      <c r="B255" t="s">
        <v>11</v>
      </c>
      <c r="C255" t="s">
        <v>26</v>
      </c>
      <c r="D255" t="s">
        <v>13</v>
      </c>
      <c r="E255" t="s">
        <v>14</v>
      </c>
      <c r="F255" t="s">
        <v>24</v>
      </c>
      <c r="G255">
        <v>450000</v>
      </c>
      <c r="H255" s="1">
        <v>45688</v>
      </c>
      <c r="K25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256" spans="1:11" x14ac:dyDescent="0.75">
      <c r="A256" t="s">
        <v>94</v>
      </c>
      <c r="B256" t="s">
        <v>18</v>
      </c>
      <c r="C256" t="s">
        <v>95</v>
      </c>
      <c r="D256" t="s">
        <v>13</v>
      </c>
      <c r="E256" t="s">
        <v>13</v>
      </c>
      <c r="F256" t="s">
        <v>24</v>
      </c>
      <c r="G256">
        <v>570000</v>
      </c>
      <c r="H256" s="1">
        <v>45685</v>
      </c>
      <c r="K25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257" spans="1:11" x14ac:dyDescent="0.75">
      <c r="A257" t="s">
        <v>96</v>
      </c>
      <c r="B257" t="s">
        <v>18</v>
      </c>
      <c r="C257" t="s">
        <v>24</v>
      </c>
      <c r="D257" t="s">
        <v>31</v>
      </c>
      <c r="E257" t="s">
        <v>13</v>
      </c>
      <c r="F257" t="s">
        <v>13</v>
      </c>
      <c r="G257">
        <v>1470000</v>
      </c>
      <c r="H257" s="1">
        <v>45685</v>
      </c>
      <c r="K25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58" spans="1:11" x14ac:dyDescent="0.75">
      <c r="A258" t="s">
        <v>97</v>
      </c>
      <c r="B258" t="s">
        <v>11</v>
      </c>
      <c r="C258" t="s">
        <v>24</v>
      </c>
      <c r="D258" t="s">
        <v>13</v>
      </c>
      <c r="E258" t="s">
        <v>13</v>
      </c>
      <c r="F258" t="s">
        <v>24</v>
      </c>
      <c r="G258">
        <v>635000</v>
      </c>
      <c r="H258" s="1">
        <v>45685</v>
      </c>
      <c r="K25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259" spans="1:11" x14ac:dyDescent="0.75">
      <c r="A259" t="s">
        <v>98</v>
      </c>
      <c r="B259" t="s">
        <v>11</v>
      </c>
      <c r="C259" t="s">
        <v>99</v>
      </c>
      <c r="D259" t="s">
        <v>13</v>
      </c>
      <c r="E259" t="s">
        <v>14</v>
      </c>
      <c r="F259" t="s">
        <v>24</v>
      </c>
      <c r="G259">
        <v>458000</v>
      </c>
      <c r="H259" s="1">
        <v>45681</v>
      </c>
      <c r="K25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260" spans="1:11" x14ac:dyDescent="0.75">
      <c r="A260" t="s">
        <v>100</v>
      </c>
      <c r="B260" t="s">
        <v>11</v>
      </c>
      <c r="C260" t="s">
        <v>19</v>
      </c>
      <c r="D260" t="s">
        <v>13</v>
      </c>
      <c r="E260" t="s">
        <v>14</v>
      </c>
      <c r="F260" t="s">
        <v>14</v>
      </c>
      <c r="G260">
        <v>467000</v>
      </c>
      <c r="H260" s="1">
        <v>45681</v>
      </c>
      <c r="K26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261" spans="1:11" x14ac:dyDescent="0.75">
      <c r="A261" t="s">
        <v>101</v>
      </c>
      <c r="B261" t="s">
        <v>11</v>
      </c>
      <c r="C261" t="s">
        <v>19</v>
      </c>
      <c r="D261" t="s">
        <v>13</v>
      </c>
      <c r="E261" t="s">
        <v>14</v>
      </c>
      <c r="F261" t="s">
        <v>14</v>
      </c>
      <c r="G261">
        <v>495000</v>
      </c>
      <c r="H261" s="1">
        <v>45681</v>
      </c>
      <c r="K26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262" spans="1:11" x14ac:dyDescent="0.75">
      <c r="A262" t="s">
        <v>102</v>
      </c>
      <c r="B262" t="s">
        <v>11</v>
      </c>
      <c r="C262" t="s">
        <v>22</v>
      </c>
      <c r="D262" t="s">
        <v>13</v>
      </c>
      <c r="E262" t="s">
        <v>14</v>
      </c>
      <c r="F262" t="s">
        <v>14</v>
      </c>
      <c r="G262">
        <v>370000</v>
      </c>
      <c r="H262" s="1">
        <v>45680</v>
      </c>
      <c r="K26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300K-400K</v>
      </c>
    </row>
    <row r="263" spans="1:11" x14ac:dyDescent="0.75">
      <c r="A263" t="s">
        <v>103</v>
      </c>
      <c r="B263" t="s">
        <v>18</v>
      </c>
      <c r="C263" t="s">
        <v>41</v>
      </c>
      <c r="D263" t="s">
        <v>20</v>
      </c>
      <c r="E263" t="s">
        <v>13</v>
      </c>
      <c r="F263" t="s">
        <v>13</v>
      </c>
      <c r="G263">
        <v>1416000</v>
      </c>
      <c r="H263" s="1">
        <v>45679</v>
      </c>
      <c r="K26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64" spans="1:11" x14ac:dyDescent="0.75">
      <c r="A264" t="s">
        <v>104</v>
      </c>
      <c r="B264" t="s">
        <v>18</v>
      </c>
      <c r="C264" t="s">
        <v>105</v>
      </c>
      <c r="D264" t="s">
        <v>31</v>
      </c>
      <c r="E264" t="s">
        <v>13</v>
      </c>
      <c r="F264" t="s">
        <v>24</v>
      </c>
      <c r="G264">
        <v>1830000</v>
      </c>
      <c r="H264" s="1">
        <v>45679</v>
      </c>
      <c r="K26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65" spans="1:11" x14ac:dyDescent="0.75">
      <c r="A265" t="s">
        <v>106</v>
      </c>
      <c r="B265" t="s">
        <v>11</v>
      </c>
      <c r="C265" t="s">
        <v>107</v>
      </c>
      <c r="D265" t="s">
        <v>29</v>
      </c>
      <c r="E265" t="s">
        <v>13</v>
      </c>
      <c r="F265" t="s">
        <v>13</v>
      </c>
      <c r="G265">
        <v>875000</v>
      </c>
      <c r="H265" s="1">
        <v>45679</v>
      </c>
      <c r="K26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800K-900K</v>
      </c>
    </row>
    <row r="266" spans="1:11" x14ac:dyDescent="0.75">
      <c r="A266" t="s">
        <v>108</v>
      </c>
      <c r="B266" t="s">
        <v>11</v>
      </c>
      <c r="C266" t="s">
        <v>24</v>
      </c>
      <c r="D266" t="s">
        <v>13</v>
      </c>
      <c r="E266" t="s">
        <v>13</v>
      </c>
      <c r="F266" t="s">
        <v>24</v>
      </c>
      <c r="G266">
        <v>668000</v>
      </c>
      <c r="H266" s="1">
        <v>45678</v>
      </c>
      <c r="K26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267" spans="1:11" x14ac:dyDescent="0.75">
      <c r="A267" t="s">
        <v>109</v>
      </c>
      <c r="B267" t="s">
        <v>11</v>
      </c>
      <c r="C267" t="s">
        <v>24</v>
      </c>
      <c r="D267" t="s">
        <v>29</v>
      </c>
      <c r="E267" t="s">
        <v>13</v>
      </c>
      <c r="F267" t="s">
        <v>13</v>
      </c>
      <c r="G267">
        <v>629000</v>
      </c>
      <c r="H267" s="1">
        <v>45678</v>
      </c>
      <c r="K26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268" spans="1:11" x14ac:dyDescent="0.75">
      <c r="A268" t="s">
        <v>110</v>
      </c>
      <c r="B268" t="s">
        <v>11</v>
      </c>
      <c r="C268" t="s">
        <v>22</v>
      </c>
      <c r="D268" t="s">
        <v>29</v>
      </c>
      <c r="E268" t="s">
        <v>13</v>
      </c>
      <c r="F268" t="s">
        <v>13</v>
      </c>
      <c r="G268">
        <v>875000</v>
      </c>
      <c r="H268" s="1">
        <v>45677</v>
      </c>
      <c r="K26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800K-900K</v>
      </c>
    </row>
    <row r="269" spans="1:11" x14ac:dyDescent="0.75">
      <c r="A269" t="s">
        <v>111</v>
      </c>
      <c r="B269" t="s">
        <v>18</v>
      </c>
      <c r="C269" t="s">
        <v>41</v>
      </c>
      <c r="D269" t="s">
        <v>29</v>
      </c>
      <c r="E269" t="s">
        <v>13</v>
      </c>
      <c r="F269" t="s">
        <v>24</v>
      </c>
      <c r="G269">
        <v>1620000</v>
      </c>
      <c r="H269" s="1">
        <v>45677</v>
      </c>
      <c r="K26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70" spans="1:11" x14ac:dyDescent="0.75">
      <c r="A270" t="s">
        <v>112</v>
      </c>
      <c r="B270" t="s">
        <v>11</v>
      </c>
      <c r="C270" t="s">
        <v>113</v>
      </c>
      <c r="D270" t="s">
        <v>13</v>
      </c>
      <c r="E270" t="s">
        <v>14</v>
      </c>
      <c r="F270" t="s">
        <v>14</v>
      </c>
      <c r="G270">
        <v>596000</v>
      </c>
      <c r="H270" s="1">
        <v>45677</v>
      </c>
      <c r="K27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271" spans="1:11" x14ac:dyDescent="0.75">
      <c r="A271" t="s">
        <v>114</v>
      </c>
      <c r="B271" t="s">
        <v>11</v>
      </c>
      <c r="C271" t="s">
        <v>24</v>
      </c>
      <c r="D271" t="s">
        <v>13</v>
      </c>
      <c r="E271" t="s">
        <v>13</v>
      </c>
      <c r="F271" t="s">
        <v>14</v>
      </c>
      <c r="G271">
        <v>522000</v>
      </c>
      <c r="H271" s="1">
        <v>45677</v>
      </c>
      <c r="K27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272" spans="1:11" x14ac:dyDescent="0.75">
      <c r="A272" t="s">
        <v>115</v>
      </c>
      <c r="B272" t="s">
        <v>11</v>
      </c>
      <c r="C272" t="s">
        <v>99</v>
      </c>
      <c r="D272" t="s">
        <v>13</v>
      </c>
      <c r="E272" t="s">
        <v>13</v>
      </c>
      <c r="F272" t="s">
        <v>24</v>
      </c>
      <c r="G272">
        <v>550000</v>
      </c>
      <c r="H272" s="1">
        <v>45677</v>
      </c>
      <c r="K27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273" spans="1:11" x14ac:dyDescent="0.75">
      <c r="A273" t="s">
        <v>116</v>
      </c>
      <c r="B273" t="s">
        <v>11</v>
      </c>
      <c r="C273" t="s">
        <v>53</v>
      </c>
      <c r="D273" t="s">
        <v>29</v>
      </c>
      <c r="E273" t="s">
        <v>29</v>
      </c>
      <c r="F273" t="s">
        <v>13</v>
      </c>
      <c r="G273">
        <v>1035000</v>
      </c>
      <c r="H273" s="1">
        <v>45677</v>
      </c>
      <c r="K27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74" spans="1:11" x14ac:dyDescent="0.75">
      <c r="A274" t="s">
        <v>117</v>
      </c>
      <c r="B274" t="s">
        <v>11</v>
      </c>
      <c r="C274" t="s">
        <v>118</v>
      </c>
      <c r="D274" t="s">
        <v>13</v>
      </c>
      <c r="E274" t="s">
        <v>13</v>
      </c>
      <c r="F274" t="s">
        <v>24</v>
      </c>
      <c r="G274">
        <v>550000</v>
      </c>
      <c r="H274" s="1">
        <v>45674</v>
      </c>
      <c r="K27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275" spans="1:11" x14ac:dyDescent="0.75">
      <c r="A275" t="s">
        <v>119</v>
      </c>
      <c r="B275" t="s">
        <v>11</v>
      </c>
      <c r="C275" t="s">
        <v>41</v>
      </c>
      <c r="D275" t="s">
        <v>13</v>
      </c>
      <c r="E275" t="s">
        <v>14</v>
      </c>
      <c r="F275" t="s">
        <v>24</v>
      </c>
      <c r="G275">
        <v>365000</v>
      </c>
      <c r="H275" s="1">
        <v>45674</v>
      </c>
      <c r="K27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300K-400K</v>
      </c>
    </row>
    <row r="276" spans="1:11" x14ac:dyDescent="0.75">
      <c r="A276" t="s">
        <v>120</v>
      </c>
      <c r="B276" t="s">
        <v>11</v>
      </c>
      <c r="C276" t="s">
        <v>22</v>
      </c>
      <c r="D276" t="s">
        <v>13</v>
      </c>
      <c r="E276" t="s">
        <v>14</v>
      </c>
      <c r="F276" t="s">
        <v>14</v>
      </c>
      <c r="G276">
        <v>455000</v>
      </c>
      <c r="H276" s="1">
        <v>45674</v>
      </c>
      <c r="K27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277" spans="1:11" x14ac:dyDescent="0.75">
      <c r="A277" t="s">
        <v>121</v>
      </c>
      <c r="B277" t="s">
        <v>11</v>
      </c>
      <c r="C277" t="s">
        <v>24</v>
      </c>
      <c r="D277" t="s">
        <v>29</v>
      </c>
      <c r="E277" t="s">
        <v>13</v>
      </c>
      <c r="F277" t="s">
        <v>14</v>
      </c>
      <c r="G277">
        <v>40000</v>
      </c>
      <c r="H277" s="1">
        <v>45674</v>
      </c>
      <c r="K277">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0</v>
      </c>
    </row>
    <row r="278" spans="1:11" x14ac:dyDescent="0.75">
      <c r="A278" t="s">
        <v>122</v>
      </c>
      <c r="B278" t="s">
        <v>11</v>
      </c>
      <c r="C278" t="s">
        <v>24</v>
      </c>
      <c r="D278" t="s">
        <v>29</v>
      </c>
      <c r="E278" t="s">
        <v>29</v>
      </c>
      <c r="F278" t="s">
        <v>13</v>
      </c>
      <c r="G278">
        <v>650000</v>
      </c>
      <c r="H278" s="1">
        <v>45673</v>
      </c>
      <c r="K27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279" spans="1:11" x14ac:dyDescent="0.75">
      <c r="A279" t="s">
        <v>123</v>
      </c>
      <c r="B279" t="s">
        <v>18</v>
      </c>
      <c r="C279" t="s">
        <v>124</v>
      </c>
      <c r="D279" t="s">
        <v>29</v>
      </c>
      <c r="E279" t="s">
        <v>13</v>
      </c>
      <c r="F279" t="s">
        <v>14</v>
      </c>
      <c r="G279">
        <v>1260000</v>
      </c>
      <c r="H279" s="1">
        <v>45670</v>
      </c>
      <c r="K27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80" spans="1:11" x14ac:dyDescent="0.75">
      <c r="A280" t="s">
        <v>125</v>
      </c>
      <c r="B280" t="s">
        <v>11</v>
      </c>
      <c r="C280" t="s">
        <v>24</v>
      </c>
      <c r="D280" t="s">
        <v>29</v>
      </c>
      <c r="E280" t="s">
        <v>14</v>
      </c>
      <c r="F280" t="s">
        <v>14</v>
      </c>
      <c r="G280">
        <v>880000</v>
      </c>
      <c r="H280" s="1">
        <v>45670</v>
      </c>
      <c r="K28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800K-900K</v>
      </c>
    </row>
    <row r="281" spans="1:11" x14ac:dyDescent="0.75">
      <c r="A281" t="s">
        <v>126</v>
      </c>
      <c r="B281" t="s">
        <v>11</v>
      </c>
      <c r="C281" t="s">
        <v>24</v>
      </c>
      <c r="D281" t="s">
        <v>13</v>
      </c>
      <c r="E281" t="s">
        <v>13</v>
      </c>
      <c r="F281" t="s">
        <v>127</v>
      </c>
      <c r="G281">
        <v>615000</v>
      </c>
      <c r="H281" s="1">
        <v>45670</v>
      </c>
      <c r="K28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282" spans="1:11" x14ac:dyDescent="0.75">
      <c r="A282" t="s">
        <v>128</v>
      </c>
      <c r="B282" t="s">
        <v>18</v>
      </c>
      <c r="C282" t="s">
        <v>22</v>
      </c>
      <c r="D282" t="s">
        <v>29</v>
      </c>
      <c r="E282" t="s">
        <v>13</v>
      </c>
      <c r="F282" t="s">
        <v>13</v>
      </c>
      <c r="G282">
        <v>1100000</v>
      </c>
      <c r="H282" s="1">
        <v>45667</v>
      </c>
      <c r="K28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83" spans="1:11" x14ac:dyDescent="0.75">
      <c r="A283" t="s">
        <v>129</v>
      </c>
      <c r="B283" t="s">
        <v>11</v>
      </c>
      <c r="C283" t="s">
        <v>24</v>
      </c>
      <c r="D283" t="s">
        <v>13</v>
      </c>
      <c r="E283" t="s">
        <v>14</v>
      </c>
      <c r="F283" t="s">
        <v>24</v>
      </c>
      <c r="G283">
        <v>483000</v>
      </c>
      <c r="H283" s="1">
        <v>45667</v>
      </c>
      <c r="K28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284" spans="1:11" x14ac:dyDescent="0.75">
      <c r="A284" t="s">
        <v>130</v>
      </c>
      <c r="B284" t="s">
        <v>11</v>
      </c>
      <c r="C284" t="s">
        <v>99</v>
      </c>
      <c r="D284" t="s">
        <v>13</v>
      </c>
      <c r="E284" t="s">
        <v>14</v>
      </c>
      <c r="F284" t="s">
        <v>13</v>
      </c>
      <c r="G284">
        <v>450000</v>
      </c>
      <c r="H284" s="1">
        <v>45667</v>
      </c>
      <c r="K28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285" spans="1:11" x14ac:dyDescent="0.75">
      <c r="A285" t="s">
        <v>131</v>
      </c>
      <c r="B285" t="s">
        <v>11</v>
      </c>
      <c r="C285" t="s">
        <v>132</v>
      </c>
      <c r="D285" t="s">
        <v>29</v>
      </c>
      <c r="E285" t="s">
        <v>13</v>
      </c>
      <c r="F285" t="s">
        <v>14</v>
      </c>
      <c r="G285">
        <v>647000</v>
      </c>
      <c r="H285" s="1">
        <v>45667</v>
      </c>
      <c r="K28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286" spans="1:11" x14ac:dyDescent="0.75">
      <c r="A286" t="s">
        <v>133</v>
      </c>
      <c r="B286" t="s">
        <v>18</v>
      </c>
      <c r="C286" t="s">
        <v>90</v>
      </c>
      <c r="D286" t="s">
        <v>29</v>
      </c>
      <c r="E286" t="s">
        <v>13</v>
      </c>
      <c r="F286" t="s">
        <v>29</v>
      </c>
      <c r="G286">
        <v>1978000</v>
      </c>
      <c r="H286" s="1">
        <v>45667</v>
      </c>
      <c r="K28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287" spans="1:11" x14ac:dyDescent="0.75">
      <c r="A287" t="s">
        <v>134</v>
      </c>
      <c r="B287" t="s">
        <v>11</v>
      </c>
      <c r="C287" t="s">
        <v>24</v>
      </c>
      <c r="D287" t="s">
        <v>13</v>
      </c>
      <c r="E287" t="s">
        <v>13</v>
      </c>
      <c r="F287" t="s">
        <v>24</v>
      </c>
      <c r="G287">
        <v>610000</v>
      </c>
      <c r="H287" s="1">
        <v>45663</v>
      </c>
      <c r="K28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288" spans="1:11" x14ac:dyDescent="0.75">
      <c r="A288" t="s">
        <v>135</v>
      </c>
      <c r="B288" t="s">
        <v>18</v>
      </c>
      <c r="C288" t="s">
        <v>24</v>
      </c>
      <c r="D288" t="s">
        <v>29</v>
      </c>
      <c r="E288" t="s">
        <v>14</v>
      </c>
      <c r="F288" t="s">
        <v>14</v>
      </c>
      <c r="G288">
        <v>555000</v>
      </c>
      <c r="H288" s="1">
        <v>45660</v>
      </c>
      <c r="K28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289" spans="1:11" x14ac:dyDescent="0.75">
      <c r="A289" t="s">
        <v>136</v>
      </c>
      <c r="B289" t="s">
        <v>11</v>
      </c>
      <c r="C289" t="s">
        <v>137</v>
      </c>
      <c r="D289" t="s">
        <v>13</v>
      </c>
      <c r="E289" t="s">
        <v>13</v>
      </c>
      <c r="F289" t="s">
        <v>24</v>
      </c>
      <c r="G289">
        <v>652250</v>
      </c>
      <c r="H289" s="1">
        <v>45656</v>
      </c>
      <c r="K28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290" spans="1:11" x14ac:dyDescent="0.75">
      <c r="A290" t="s">
        <v>138</v>
      </c>
      <c r="B290" t="s">
        <v>11</v>
      </c>
      <c r="C290" t="s">
        <v>24</v>
      </c>
      <c r="D290" t="s">
        <v>13</v>
      </c>
      <c r="E290" t="s">
        <v>14</v>
      </c>
      <c r="F290" t="s">
        <v>14</v>
      </c>
      <c r="G290">
        <v>330000</v>
      </c>
      <c r="H290" s="1">
        <v>45649</v>
      </c>
      <c r="K29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300K-400K</v>
      </c>
    </row>
    <row r="291" spans="1:11" x14ac:dyDescent="0.75">
      <c r="A291" t="s">
        <v>139</v>
      </c>
      <c r="B291" t="s">
        <v>11</v>
      </c>
      <c r="C291" t="s">
        <v>24</v>
      </c>
      <c r="D291" t="s">
        <v>13</v>
      </c>
      <c r="E291" t="s">
        <v>13</v>
      </c>
      <c r="F291" t="s">
        <v>14</v>
      </c>
      <c r="G291">
        <v>570000</v>
      </c>
      <c r="H291" s="1">
        <v>45646</v>
      </c>
      <c r="K29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292" spans="1:11" x14ac:dyDescent="0.75">
      <c r="A292" t="s">
        <v>140</v>
      </c>
      <c r="B292" t="s">
        <v>11</v>
      </c>
      <c r="C292" t="s">
        <v>24</v>
      </c>
      <c r="D292" t="s">
        <v>13</v>
      </c>
      <c r="E292" t="s">
        <v>14</v>
      </c>
      <c r="F292" t="s">
        <v>14</v>
      </c>
      <c r="G292">
        <v>413000</v>
      </c>
      <c r="H292" s="1">
        <v>45646</v>
      </c>
      <c r="K29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293" spans="1:11" x14ac:dyDescent="0.75">
      <c r="A293" t="s">
        <v>141</v>
      </c>
      <c r="B293" t="s">
        <v>11</v>
      </c>
      <c r="C293" t="s">
        <v>142</v>
      </c>
      <c r="D293" t="s">
        <v>29</v>
      </c>
      <c r="E293" t="s">
        <v>13</v>
      </c>
      <c r="F293" t="s">
        <v>13</v>
      </c>
      <c r="G293">
        <v>830000</v>
      </c>
      <c r="H293" s="1">
        <v>45646</v>
      </c>
      <c r="K29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800K-900K</v>
      </c>
    </row>
    <row r="294" spans="1:11" x14ac:dyDescent="0.75">
      <c r="A294" t="s">
        <v>143</v>
      </c>
      <c r="B294" t="s">
        <v>11</v>
      </c>
      <c r="C294" t="s">
        <v>24</v>
      </c>
      <c r="D294" t="s">
        <v>13</v>
      </c>
      <c r="E294" t="s">
        <v>13</v>
      </c>
      <c r="F294" t="s">
        <v>14</v>
      </c>
      <c r="G294">
        <v>570000</v>
      </c>
      <c r="H294" s="1">
        <v>45646</v>
      </c>
      <c r="K29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295" spans="1:11" x14ac:dyDescent="0.75">
      <c r="A295" t="s">
        <v>144</v>
      </c>
      <c r="B295" t="s">
        <v>11</v>
      </c>
      <c r="C295" t="s">
        <v>24</v>
      </c>
      <c r="D295" t="s">
        <v>13</v>
      </c>
      <c r="E295" t="s">
        <v>14</v>
      </c>
      <c r="F295" t="s">
        <v>14</v>
      </c>
      <c r="G295">
        <v>420000</v>
      </c>
      <c r="H295" s="1">
        <v>45646</v>
      </c>
      <c r="K29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296" spans="1:11" x14ac:dyDescent="0.75">
      <c r="A296" t="s">
        <v>145</v>
      </c>
      <c r="B296" t="s">
        <v>11</v>
      </c>
      <c r="C296" t="s">
        <v>146</v>
      </c>
      <c r="D296" t="s">
        <v>13</v>
      </c>
      <c r="E296" t="s">
        <v>13</v>
      </c>
      <c r="F296" t="s">
        <v>24</v>
      </c>
      <c r="G296">
        <v>620000</v>
      </c>
      <c r="H296" s="1">
        <v>45646</v>
      </c>
      <c r="K29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297" spans="1:11" x14ac:dyDescent="0.75">
      <c r="A297" t="s">
        <v>147</v>
      </c>
      <c r="B297" t="s">
        <v>11</v>
      </c>
      <c r="C297" t="s">
        <v>26</v>
      </c>
      <c r="D297" t="s">
        <v>13</v>
      </c>
      <c r="E297" t="s">
        <v>14</v>
      </c>
      <c r="F297" t="s">
        <v>24</v>
      </c>
      <c r="G297">
        <v>421500</v>
      </c>
      <c r="H297" s="1">
        <v>45645</v>
      </c>
      <c r="K29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298" spans="1:11" x14ac:dyDescent="0.75">
      <c r="A298" t="s">
        <v>148</v>
      </c>
      <c r="B298" t="s">
        <v>11</v>
      </c>
      <c r="C298" t="s">
        <v>24</v>
      </c>
      <c r="D298" t="s">
        <v>13</v>
      </c>
      <c r="E298" t="s">
        <v>14</v>
      </c>
      <c r="F298" t="s">
        <v>14</v>
      </c>
      <c r="G298">
        <v>463000</v>
      </c>
      <c r="H298" s="1">
        <v>45644</v>
      </c>
      <c r="K29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299" spans="1:11" x14ac:dyDescent="0.75">
      <c r="A299" t="s">
        <v>149</v>
      </c>
      <c r="B299" t="s">
        <v>11</v>
      </c>
      <c r="C299" t="s">
        <v>24</v>
      </c>
      <c r="D299" t="s">
        <v>29</v>
      </c>
      <c r="E299" t="s">
        <v>13</v>
      </c>
      <c r="F299" t="s">
        <v>14</v>
      </c>
      <c r="G299">
        <v>320000</v>
      </c>
      <c r="H299" s="1">
        <v>45644</v>
      </c>
      <c r="K29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300K-400K</v>
      </c>
    </row>
    <row r="300" spans="1:11" x14ac:dyDescent="0.75">
      <c r="A300" t="s">
        <v>150</v>
      </c>
      <c r="B300" t="s">
        <v>11</v>
      </c>
      <c r="C300" t="s">
        <v>99</v>
      </c>
      <c r="D300" t="s">
        <v>13</v>
      </c>
      <c r="E300" t="s">
        <v>14</v>
      </c>
      <c r="F300" t="s">
        <v>14</v>
      </c>
      <c r="G300">
        <v>418000</v>
      </c>
      <c r="H300" s="1">
        <v>45644</v>
      </c>
      <c r="K30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301" spans="1:11" x14ac:dyDescent="0.75">
      <c r="A301" t="s">
        <v>151</v>
      </c>
      <c r="B301" t="s">
        <v>11</v>
      </c>
      <c r="C301" t="s">
        <v>24</v>
      </c>
      <c r="D301" t="s">
        <v>31</v>
      </c>
      <c r="E301" t="s">
        <v>13</v>
      </c>
      <c r="F301" t="s">
        <v>29</v>
      </c>
      <c r="G301">
        <v>1088000</v>
      </c>
      <c r="H301" s="1">
        <v>45643</v>
      </c>
      <c r="K30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02" spans="1:11" x14ac:dyDescent="0.75">
      <c r="A302" t="s">
        <v>152</v>
      </c>
      <c r="B302" t="s">
        <v>11</v>
      </c>
      <c r="C302" t="s">
        <v>153</v>
      </c>
      <c r="D302" t="s">
        <v>14</v>
      </c>
      <c r="E302" t="s">
        <v>14</v>
      </c>
      <c r="F302" t="s">
        <v>14</v>
      </c>
      <c r="G302">
        <v>450000</v>
      </c>
      <c r="H302" s="1">
        <v>45643</v>
      </c>
      <c r="K30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303" spans="1:11" x14ac:dyDescent="0.75">
      <c r="A303" t="s">
        <v>154</v>
      </c>
      <c r="B303" t="s">
        <v>11</v>
      </c>
      <c r="C303" t="s">
        <v>24</v>
      </c>
      <c r="D303" t="s">
        <v>13</v>
      </c>
      <c r="E303" t="s">
        <v>14</v>
      </c>
      <c r="F303" t="s">
        <v>14</v>
      </c>
      <c r="G303">
        <v>495110</v>
      </c>
      <c r="H303" s="1">
        <v>45643</v>
      </c>
      <c r="K30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304" spans="1:11" x14ac:dyDescent="0.75">
      <c r="A304" t="s">
        <v>155</v>
      </c>
      <c r="B304" t="s">
        <v>11</v>
      </c>
      <c r="C304" t="s">
        <v>24</v>
      </c>
      <c r="D304" t="s">
        <v>13</v>
      </c>
      <c r="E304" t="s">
        <v>13</v>
      </c>
      <c r="F304" t="s">
        <v>14</v>
      </c>
      <c r="G304">
        <v>550000</v>
      </c>
      <c r="H304" s="1">
        <v>45643</v>
      </c>
      <c r="K30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305" spans="1:11" x14ac:dyDescent="0.75">
      <c r="A305" t="s">
        <v>156</v>
      </c>
      <c r="B305" t="s">
        <v>11</v>
      </c>
      <c r="C305" t="s">
        <v>24</v>
      </c>
      <c r="D305" t="s">
        <v>13</v>
      </c>
      <c r="E305" t="s">
        <v>14</v>
      </c>
      <c r="F305" t="s">
        <v>14</v>
      </c>
      <c r="G305">
        <v>420000</v>
      </c>
      <c r="H305" s="1">
        <v>45643</v>
      </c>
      <c r="K30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306" spans="1:11" x14ac:dyDescent="0.75">
      <c r="A306" t="s">
        <v>157</v>
      </c>
      <c r="B306" t="s">
        <v>18</v>
      </c>
      <c r="C306" t="s">
        <v>24</v>
      </c>
      <c r="D306" t="s">
        <v>29</v>
      </c>
      <c r="E306" t="s">
        <v>29</v>
      </c>
      <c r="F306" t="s">
        <v>29</v>
      </c>
      <c r="G306">
        <v>1200000</v>
      </c>
      <c r="H306" s="1">
        <v>45642</v>
      </c>
      <c r="K30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07" spans="1:11" x14ac:dyDescent="0.75">
      <c r="A307" t="s">
        <v>158</v>
      </c>
      <c r="B307" t="s">
        <v>18</v>
      </c>
      <c r="C307" t="s">
        <v>159</v>
      </c>
      <c r="D307" t="s">
        <v>31</v>
      </c>
      <c r="E307" t="s">
        <v>13</v>
      </c>
      <c r="F307" t="s">
        <v>24</v>
      </c>
      <c r="G307">
        <v>1720000</v>
      </c>
      <c r="H307" s="1">
        <v>45642</v>
      </c>
      <c r="K30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08" spans="1:11" x14ac:dyDescent="0.75">
      <c r="A308" t="s">
        <v>160</v>
      </c>
      <c r="B308" t="s">
        <v>18</v>
      </c>
      <c r="C308" t="s">
        <v>161</v>
      </c>
      <c r="D308" t="s">
        <v>24</v>
      </c>
      <c r="E308" t="s">
        <v>24</v>
      </c>
      <c r="F308" t="s">
        <v>13</v>
      </c>
      <c r="G308">
        <v>2400000</v>
      </c>
      <c r="H308" s="1">
        <v>45642</v>
      </c>
      <c r="K30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09" spans="1:11" x14ac:dyDescent="0.75">
      <c r="A309" t="s">
        <v>162</v>
      </c>
      <c r="B309" t="s">
        <v>11</v>
      </c>
      <c r="C309" t="s">
        <v>22</v>
      </c>
      <c r="D309" t="s">
        <v>13</v>
      </c>
      <c r="E309" t="s">
        <v>14</v>
      </c>
      <c r="F309" t="s">
        <v>14</v>
      </c>
      <c r="G309">
        <v>428000</v>
      </c>
      <c r="H309" s="1">
        <v>45639</v>
      </c>
      <c r="K30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310" spans="1:11" x14ac:dyDescent="0.75">
      <c r="A310" t="s">
        <v>163</v>
      </c>
      <c r="B310" t="s">
        <v>11</v>
      </c>
      <c r="C310" t="s">
        <v>164</v>
      </c>
      <c r="D310" t="s">
        <v>13</v>
      </c>
      <c r="E310" t="s">
        <v>13</v>
      </c>
      <c r="F310" t="s">
        <v>14</v>
      </c>
      <c r="G310">
        <v>508000</v>
      </c>
      <c r="H310" s="1">
        <v>45639</v>
      </c>
      <c r="K31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311" spans="1:11" x14ac:dyDescent="0.75">
      <c r="A311" t="s">
        <v>165</v>
      </c>
      <c r="B311" t="s">
        <v>18</v>
      </c>
      <c r="C311" t="s">
        <v>166</v>
      </c>
      <c r="D311" t="s">
        <v>31</v>
      </c>
      <c r="E311" t="s">
        <v>14</v>
      </c>
      <c r="F311" t="s">
        <v>14</v>
      </c>
      <c r="G311">
        <v>1403000</v>
      </c>
      <c r="H311" s="1">
        <v>45639</v>
      </c>
      <c r="K31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12" spans="1:11" x14ac:dyDescent="0.75">
      <c r="A312" t="s">
        <v>167</v>
      </c>
      <c r="B312" t="s">
        <v>18</v>
      </c>
      <c r="C312" t="s">
        <v>24</v>
      </c>
      <c r="D312" t="s">
        <v>13</v>
      </c>
      <c r="E312" t="s">
        <v>14</v>
      </c>
      <c r="F312" t="s">
        <v>14</v>
      </c>
      <c r="G312">
        <v>2900000</v>
      </c>
      <c r="H312" s="1">
        <v>45639</v>
      </c>
      <c r="K31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13" spans="1:11" x14ac:dyDescent="0.75">
      <c r="A313" t="s">
        <v>168</v>
      </c>
      <c r="B313" t="s">
        <v>18</v>
      </c>
      <c r="C313" t="s">
        <v>169</v>
      </c>
      <c r="D313" t="s">
        <v>31</v>
      </c>
      <c r="E313" t="s">
        <v>14</v>
      </c>
      <c r="F313" t="s">
        <v>14</v>
      </c>
      <c r="G313">
        <v>1240000</v>
      </c>
      <c r="H313" s="1">
        <v>45638</v>
      </c>
      <c r="K31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14" spans="1:11" x14ac:dyDescent="0.75">
      <c r="A314" t="s">
        <v>170</v>
      </c>
      <c r="B314" t="s">
        <v>18</v>
      </c>
      <c r="C314" t="s">
        <v>24</v>
      </c>
      <c r="D314" t="s">
        <v>24</v>
      </c>
      <c r="E314" t="s">
        <v>24</v>
      </c>
      <c r="F314" t="s">
        <v>24</v>
      </c>
      <c r="G314">
        <v>1055000</v>
      </c>
      <c r="H314" s="1">
        <v>45637</v>
      </c>
      <c r="K31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15" spans="1:11" x14ac:dyDescent="0.75">
      <c r="A315" t="s">
        <v>171</v>
      </c>
      <c r="B315" t="s">
        <v>18</v>
      </c>
      <c r="C315" t="s">
        <v>22</v>
      </c>
      <c r="D315" t="s">
        <v>29</v>
      </c>
      <c r="E315" t="s">
        <v>13</v>
      </c>
      <c r="F315" t="s">
        <v>13</v>
      </c>
      <c r="G315">
        <v>1380000</v>
      </c>
      <c r="H315" s="1">
        <v>45636</v>
      </c>
      <c r="K31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16" spans="1:11" x14ac:dyDescent="0.75">
      <c r="A316" t="s">
        <v>172</v>
      </c>
      <c r="B316" t="s">
        <v>18</v>
      </c>
      <c r="C316" t="s">
        <v>22</v>
      </c>
      <c r="D316" t="s">
        <v>20</v>
      </c>
      <c r="E316" t="s">
        <v>29</v>
      </c>
      <c r="F316" t="s">
        <v>24</v>
      </c>
      <c r="G316">
        <v>1350000</v>
      </c>
      <c r="H316" s="1">
        <v>45636</v>
      </c>
      <c r="K31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17" spans="1:11" x14ac:dyDescent="0.75">
      <c r="A317" t="s">
        <v>173</v>
      </c>
      <c r="B317" t="s">
        <v>11</v>
      </c>
      <c r="C317" t="s">
        <v>24</v>
      </c>
      <c r="D317" t="s">
        <v>13</v>
      </c>
      <c r="E317" t="s">
        <v>13</v>
      </c>
      <c r="F317" t="s">
        <v>24</v>
      </c>
      <c r="G317">
        <v>675000</v>
      </c>
      <c r="H317" s="1">
        <v>45636</v>
      </c>
      <c r="K31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318" spans="1:11" x14ac:dyDescent="0.75">
      <c r="A318" t="s">
        <v>174</v>
      </c>
      <c r="B318" t="s">
        <v>11</v>
      </c>
      <c r="C318" t="s">
        <v>175</v>
      </c>
      <c r="D318" t="s">
        <v>13</v>
      </c>
      <c r="E318" t="s">
        <v>14</v>
      </c>
      <c r="F318" t="s">
        <v>24</v>
      </c>
      <c r="G318">
        <v>420000</v>
      </c>
      <c r="H318" s="1">
        <v>45636</v>
      </c>
      <c r="K31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319" spans="1:11" x14ac:dyDescent="0.75">
      <c r="A319" t="s">
        <v>176</v>
      </c>
      <c r="B319" t="s">
        <v>18</v>
      </c>
      <c r="C319" t="s">
        <v>24</v>
      </c>
      <c r="D319" t="s">
        <v>29</v>
      </c>
      <c r="E319" t="s">
        <v>13</v>
      </c>
      <c r="F319" t="s">
        <v>13</v>
      </c>
      <c r="G319">
        <v>1000000</v>
      </c>
      <c r="H319" s="1">
        <v>45636</v>
      </c>
      <c r="K31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900K-1M</v>
      </c>
    </row>
    <row r="320" spans="1:11" x14ac:dyDescent="0.75">
      <c r="A320" t="s">
        <v>177</v>
      </c>
      <c r="B320" t="s">
        <v>11</v>
      </c>
      <c r="C320" t="s">
        <v>24</v>
      </c>
      <c r="D320" t="s">
        <v>13</v>
      </c>
      <c r="E320" t="s">
        <v>13</v>
      </c>
      <c r="F320" t="s">
        <v>14</v>
      </c>
      <c r="G320">
        <v>600000</v>
      </c>
      <c r="H320" s="1">
        <v>45636</v>
      </c>
      <c r="K32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321" spans="1:11" x14ac:dyDescent="0.75">
      <c r="A321" t="s">
        <v>178</v>
      </c>
      <c r="B321" t="s">
        <v>11</v>
      </c>
      <c r="C321" t="s">
        <v>28</v>
      </c>
      <c r="D321" t="s">
        <v>13</v>
      </c>
      <c r="E321" t="s">
        <v>14</v>
      </c>
      <c r="F321" t="s">
        <v>14</v>
      </c>
      <c r="G321">
        <v>450000</v>
      </c>
      <c r="H321" s="1">
        <v>45635</v>
      </c>
      <c r="K32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400K-500K</v>
      </c>
    </row>
    <row r="322" spans="1:11" x14ac:dyDescent="0.75">
      <c r="A322" t="s">
        <v>179</v>
      </c>
      <c r="B322" t="s">
        <v>11</v>
      </c>
      <c r="C322" t="s">
        <v>90</v>
      </c>
      <c r="D322" t="s">
        <v>29</v>
      </c>
      <c r="E322" t="s">
        <v>14</v>
      </c>
      <c r="F322" t="s">
        <v>24</v>
      </c>
      <c r="G322">
        <v>790000</v>
      </c>
      <c r="H322" s="1">
        <v>45635</v>
      </c>
      <c r="K32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700K-800K</v>
      </c>
    </row>
    <row r="323" spans="1:11" x14ac:dyDescent="0.75">
      <c r="A323" t="s">
        <v>180</v>
      </c>
      <c r="B323" t="s">
        <v>18</v>
      </c>
      <c r="C323" t="s">
        <v>181</v>
      </c>
      <c r="D323" t="s">
        <v>31</v>
      </c>
      <c r="E323" t="s">
        <v>29</v>
      </c>
      <c r="F323" t="s">
        <v>13</v>
      </c>
      <c r="G323">
        <v>3520000</v>
      </c>
      <c r="H323" s="1">
        <v>45709</v>
      </c>
      <c r="K32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24" spans="1:11" x14ac:dyDescent="0.75">
      <c r="A324" t="s">
        <v>184</v>
      </c>
      <c r="B324" t="s">
        <v>11</v>
      </c>
      <c r="C324" t="s">
        <v>185</v>
      </c>
      <c r="D324" t="s">
        <v>13</v>
      </c>
      <c r="E324" t="s">
        <v>14</v>
      </c>
      <c r="F324" t="s">
        <v>14</v>
      </c>
      <c r="G324">
        <v>930000</v>
      </c>
      <c r="H324" s="1">
        <v>45709</v>
      </c>
      <c r="K32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900K-1M</v>
      </c>
    </row>
    <row r="325" spans="1:11" x14ac:dyDescent="0.75">
      <c r="A325" t="s">
        <v>186</v>
      </c>
      <c r="B325" t="s">
        <v>11</v>
      </c>
      <c r="C325" t="s">
        <v>187</v>
      </c>
      <c r="D325" t="s">
        <v>13</v>
      </c>
      <c r="E325" t="s">
        <v>14</v>
      </c>
      <c r="F325" t="s">
        <v>14</v>
      </c>
      <c r="G325">
        <v>888000</v>
      </c>
      <c r="H325" s="1">
        <v>45708</v>
      </c>
      <c r="K32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800K-900K</v>
      </c>
    </row>
    <row r="326" spans="1:11" x14ac:dyDescent="0.75">
      <c r="A326" t="s">
        <v>188</v>
      </c>
      <c r="B326" t="s">
        <v>11</v>
      </c>
      <c r="C326" t="s">
        <v>24</v>
      </c>
      <c r="D326" t="s">
        <v>24</v>
      </c>
      <c r="E326" t="s">
        <v>24</v>
      </c>
      <c r="F326" t="s">
        <v>24</v>
      </c>
      <c r="G326">
        <v>2481000</v>
      </c>
      <c r="H326" s="1">
        <v>45707</v>
      </c>
      <c r="K32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27" spans="1:11" x14ac:dyDescent="0.75">
      <c r="A327" t="s">
        <v>189</v>
      </c>
      <c r="B327" t="s">
        <v>11</v>
      </c>
      <c r="C327" t="s">
        <v>190</v>
      </c>
      <c r="D327" t="s">
        <v>13</v>
      </c>
      <c r="E327" t="s">
        <v>13</v>
      </c>
      <c r="F327" t="s">
        <v>14</v>
      </c>
      <c r="G327">
        <v>750000</v>
      </c>
      <c r="H327" s="1">
        <v>45706</v>
      </c>
      <c r="K32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700K-800K</v>
      </c>
    </row>
    <row r="328" spans="1:11" x14ac:dyDescent="0.75">
      <c r="A328" t="s">
        <v>191</v>
      </c>
      <c r="B328" t="s">
        <v>18</v>
      </c>
      <c r="C328" t="s">
        <v>192</v>
      </c>
      <c r="D328" t="s">
        <v>193</v>
      </c>
      <c r="E328" t="s">
        <v>38</v>
      </c>
      <c r="F328" t="s">
        <v>24</v>
      </c>
      <c r="G328">
        <v>6980142</v>
      </c>
      <c r="H328" s="1">
        <v>45706</v>
      </c>
      <c r="K32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29" spans="1:11" x14ac:dyDescent="0.75">
      <c r="A329" t="s">
        <v>194</v>
      </c>
      <c r="B329" t="s">
        <v>18</v>
      </c>
      <c r="C329" t="s">
        <v>192</v>
      </c>
      <c r="D329" t="s">
        <v>195</v>
      </c>
      <c r="E329" t="s">
        <v>20</v>
      </c>
      <c r="F329" t="s">
        <v>31</v>
      </c>
      <c r="G329">
        <v>4019858</v>
      </c>
      <c r="H329" s="1">
        <v>45706</v>
      </c>
      <c r="K32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30" spans="1:11" x14ac:dyDescent="0.75">
      <c r="A330" t="s">
        <v>196</v>
      </c>
      <c r="B330" t="s">
        <v>11</v>
      </c>
      <c r="C330" t="s">
        <v>24</v>
      </c>
      <c r="D330" t="s">
        <v>24</v>
      </c>
      <c r="E330" t="s">
        <v>24</v>
      </c>
      <c r="F330" t="s">
        <v>24</v>
      </c>
      <c r="G330">
        <v>1001000</v>
      </c>
      <c r="H330" s="1">
        <v>45705</v>
      </c>
      <c r="K33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31" spans="1:11" x14ac:dyDescent="0.75">
      <c r="A331" t="s">
        <v>197</v>
      </c>
      <c r="B331" t="s">
        <v>11</v>
      </c>
      <c r="C331" t="s">
        <v>198</v>
      </c>
      <c r="D331" t="s">
        <v>13</v>
      </c>
      <c r="E331" t="s">
        <v>14</v>
      </c>
      <c r="F331" t="s">
        <v>24</v>
      </c>
      <c r="G331">
        <v>732000</v>
      </c>
      <c r="H331" s="1">
        <v>45705</v>
      </c>
      <c r="K33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700K-800K</v>
      </c>
    </row>
    <row r="332" spans="1:11" x14ac:dyDescent="0.75">
      <c r="A332" t="s">
        <v>199</v>
      </c>
      <c r="B332" t="s">
        <v>18</v>
      </c>
      <c r="C332" t="s">
        <v>200</v>
      </c>
      <c r="D332" t="s">
        <v>38</v>
      </c>
      <c r="E332" t="s">
        <v>29</v>
      </c>
      <c r="F332" t="s">
        <v>14</v>
      </c>
      <c r="G332">
        <v>7000000</v>
      </c>
      <c r="H332" s="1">
        <v>45703</v>
      </c>
      <c r="K33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33" spans="1:11" x14ac:dyDescent="0.75">
      <c r="A333" t="s">
        <v>201</v>
      </c>
      <c r="B333" t="s">
        <v>18</v>
      </c>
      <c r="C333" t="s">
        <v>71</v>
      </c>
      <c r="D333" t="s">
        <v>31</v>
      </c>
      <c r="E333" t="s">
        <v>13</v>
      </c>
      <c r="F333" t="s">
        <v>14</v>
      </c>
      <c r="G333">
        <v>3100000</v>
      </c>
      <c r="H333" s="1">
        <v>45703</v>
      </c>
      <c r="K33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34" spans="1:11" x14ac:dyDescent="0.75">
      <c r="A334" t="s">
        <v>202</v>
      </c>
      <c r="B334" t="s">
        <v>11</v>
      </c>
      <c r="C334" t="s">
        <v>24</v>
      </c>
      <c r="D334" t="s">
        <v>29</v>
      </c>
      <c r="E334" t="s">
        <v>13</v>
      </c>
      <c r="F334" t="s">
        <v>13</v>
      </c>
      <c r="G334">
        <v>2200000</v>
      </c>
      <c r="H334" s="1">
        <v>45702</v>
      </c>
      <c r="K33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35" spans="1:11" x14ac:dyDescent="0.75">
      <c r="A335" t="s">
        <v>203</v>
      </c>
      <c r="B335" t="s">
        <v>11</v>
      </c>
      <c r="C335" t="s">
        <v>24</v>
      </c>
      <c r="D335" t="s">
        <v>29</v>
      </c>
      <c r="E335" t="s">
        <v>13</v>
      </c>
      <c r="F335" t="s">
        <v>13</v>
      </c>
      <c r="G335">
        <v>1335000</v>
      </c>
      <c r="H335" s="1">
        <v>45702</v>
      </c>
      <c r="K33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36" spans="1:11" x14ac:dyDescent="0.75">
      <c r="A336" t="s">
        <v>204</v>
      </c>
      <c r="B336" t="s">
        <v>11</v>
      </c>
      <c r="C336" t="s">
        <v>34</v>
      </c>
      <c r="D336" t="s">
        <v>13</v>
      </c>
      <c r="E336" t="s">
        <v>13</v>
      </c>
      <c r="F336" t="s">
        <v>24</v>
      </c>
      <c r="G336">
        <v>1230000</v>
      </c>
      <c r="H336" s="1">
        <v>45700</v>
      </c>
      <c r="K33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37" spans="1:11" x14ac:dyDescent="0.75">
      <c r="A337" t="s">
        <v>205</v>
      </c>
      <c r="B337" t="s">
        <v>11</v>
      </c>
      <c r="C337" t="s">
        <v>187</v>
      </c>
      <c r="D337" t="s">
        <v>13</v>
      </c>
      <c r="E337" t="s">
        <v>14</v>
      </c>
      <c r="F337" t="s">
        <v>24</v>
      </c>
      <c r="G337">
        <v>650000</v>
      </c>
      <c r="H337" s="1">
        <v>45698</v>
      </c>
      <c r="K33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338" spans="1:11" x14ac:dyDescent="0.75">
      <c r="A338" t="s">
        <v>206</v>
      </c>
      <c r="B338" t="s">
        <v>18</v>
      </c>
      <c r="C338" t="s">
        <v>192</v>
      </c>
      <c r="D338" t="s">
        <v>38</v>
      </c>
      <c r="E338" t="s">
        <v>20</v>
      </c>
      <c r="F338" t="s">
        <v>13</v>
      </c>
      <c r="G338">
        <v>5300000</v>
      </c>
      <c r="H338" s="1">
        <v>45693</v>
      </c>
      <c r="K33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39" spans="1:11" x14ac:dyDescent="0.75">
      <c r="A339" t="s">
        <v>207</v>
      </c>
      <c r="B339" t="s">
        <v>18</v>
      </c>
      <c r="C339" t="s">
        <v>71</v>
      </c>
      <c r="D339" t="s">
        <v>29</v>
      </c>
      <c r="E339" t="s">
        <v>29</v>
      </c>
      <c r="F339" t="s">
        <v>24</v>
      </c>
      <c r="G339">
        <v>2200000</v>
      </c>
      <c r="H339" s="1">
        <v>45692</v>
      </c>
      <c r="K33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40" spans="1:11" x14ac:dyDescent="0.75">
      <c r="A340" t="s">
        <v>208</v>
      </c>
      <c r="B340" t="s">
        <v>11</v>
      </c>
      <c r="C340" t="s">
        <v>24</v>
      </c>
      <c r="D340" t="s">
        <v>13</v>
      </c>
      <c r="E340" t="s">
        <v>14</v>
      </c>
      <c r="F340" t="s">
        <v>14</v>
      </c>
      <c r="G340">
        <v>718000</v>
      </c>
      <c r="H340" s="1">
        <v>45691</v>
      </c>
      <c r="K34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700K-800K</v>
      </c>
    </row>
    <row r="341" spans="1:11" x14ac:dyDescent="0.75">
      <c r="A341" t="s">
        <v>209</v>
      </c>
      <c r="B341" t="s">
        <v>18</v>
      </c>
      <c r="C341" t="s">
        <v>187</v>
      </c>
      <c r="D341" t="s">
        <v>31</v>
      </c>
      <c r="E341" t="s">
        <v>13</v>
      </c>
      <c r="F341" t="s">
        <v>13</v>
      </c>
      <c r="G341">
        <v>2680000</v>
      </c>
      <c r="H341" s="1">
        <v>45691</v>
      </c>
      <c r="K34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42" spans="1:11" x14ac:dyDescent="0.75">
      <c r="A342" t="s">
        <v>210</v>
      </c>
      <c r="B342" t="s">
        <v>11</v>
      </c>
      <c r="C342" t="s">
        <v>95</v>
      </c>
      <c r="D342" t="s">
        <v>13</v>
      </c>
      <c r="E342" t="s">
        <v>14</v>
      </c>
      <c r="F342" t="s">
        <v>24</v>
      </c>
      <c r="G342">
        <v>670000</v>
      </c>
      <c r="H342" s="1">
        <v>45690</v>
      </c>
      <c r="K34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343" spans="1:11" x14ac:dyDescent="0.75">
      <c r="A343" t="s">
        <v>211</v>
      </c>
      <c r="B343" t="s">
        <v>18</v>
      </c>
      <c r="C343" t="s">
        <v>212</v>
      </c>
      <c r="D343" t="s">
        <v>29</v>
      </c>
      <c r="E343" t="s">
        <v>13</v>
      </c>
      <c r="F343" t="s">
        <v>13</v>
      </c>
      <c r="G343">
        <v>2636000</v>
      </c>
      <c r="H343" s="1">
        <v>45688</v>
      </c>
      <c r="K34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44" spans="1:11" x14ac:dyDescent="0.75">
      <c r="A344" t="s">
        <v>213</v>
      </c>
      <c r="B344" t="s">
        <v>11</v>
      </c>
      <c r="C344" t="s">
        <v>214</v>
      </c>
      <c r="D344" t="s">
        <v>13</v>
      </c>
      <c r="E344" t="s">
        <v>13</v>
      </c>
      <c r="F344" t="s">
        <v>14</v>
      </c>
      <c r="G344">
        <v>700000</v>
      </c>
      <c r="H344" s="1">
        <v>45687</v>
      </c>
      <c r="K34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345" spans="1:11" x14ac:dyDescent="0.75">
      <c r="A345" t="s">
        <v>215</v>
      </c>
      <c r="B345" t="s">
        <v>11</v>
      </c>
      <c r="C345" t="s">
        <v>214</v>
      </c>
      <c r="D345" t="s">
        <v>13</v>
      </c>
      <c r="E345" t="s">
        <v>13</v>
      </c>
      <c r="F345" t="s">
        <v>14</v>
      </c>
      <c r="G345">
        <v>1250000</v>
      </c>
      <c r="H345" s="1">
        <v>45687</v>
      </c>
      <c r="K34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46" spans="1:11" x14ac:dyDescent="0.75">
      <c r="A346" t="s">
        <v>216</v>
      </c>
      <c r="B346" t="s">
        <v>18</v>
      </c>
      <c r="C346" t="s">
        <v>71</v>
      </c>
      <c r="D346" t="s">
        <v>29</v>
      </c>
      <c r="E346" t="s">
        <v>13</v>
      </c>
      <c r="F346" t="s">
        <v>24</v>
      </c>
      <c r="G346">
        <v>1723000</v>
      </c>
      <c r="H346" s="1">
        <v>45687</v>
      </c>
      <c r="K34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47" spans="1:11" x14ac:dyDescent="0.75">
      <c r="A347" t="s">
        <v>217</v>
      </c>
      <c r="B347" t="s">
        <v>11</v>
      </c>
      <c r="C347" t="s">
        <v>24</v>
      </c>
      <c r="D347" t="s">
        <v>13</v>
      </c>
      <c r="E347" t="s">
        <v>13</v>
      </c>
      <c r="F347" t="s">
        <v>14</v>
      </c>
      <c r="G347">
        <v>820000</v>
      </c>
      <c r="H347" s="1">
        <v>45686</v>
      </c>
      <c r="K34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800K-900K</v>
      </c>
    </row>
    <row r="348" spans="1:11" x14ac:dyDescent="0.75">
      <c r="A348" t="s">
        <v>218</v>
      </c>
      <c r="B348" t="s">
        <v>11</v>
      </c>
      <c r="C348" t="s">
        <v>24</v>
      </c>
      <c r="D348" t="s">
        <v>29</v>
      </c>
      <c r="E348" t="s">
        <v>13</v>
      </c>
      <c r="F348" t="s">
        <v>14</v>
      </c>
      <c r="G348">
        <v>933800</v>
      </c>
      <c r="H348" s="1">
        <v>45686</v>
      </c>
      <c r="K34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900K-1M</v>
      </c>
    </row>
    <row r="349" spans="1:11" x14ac:dyDescent="0.75">
      <c r="A349" t="s">
        <v>219</v>
      </c>
      <c r="B349" t="s">
        <v>11</v>
      </c>
      <c r="C349" t="s">
        <v>34</v>
      </c>
      <c r="D349" t="s">
        <v>13</v>
      </c>
      <c r="E349" t="s">
        <v>13</v>
      </c>
      <c r="F349" t="s">
        <v>24</v>
      </c>
      <c r="G349">
        <v>1200000</v>
      </c>
      <c r="H349" s="1">
        <v>45685</v>
      </c>
      <c r="K34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50" spans="1:11" x14ac:dyDescent="0.75">
      <c r="A350" t="s">
        <v>220</v>
      </c>
      <c r="B350" t="s">
        <v>11</v>
      </c>
      <c r="C350" t="s">
        <v>24</v>
      </c>
      <c r="D350" t="s">
        <v>13</v>
      </c>
      <c r="E350" t="s">
        <v>13</v>
      </c>
      <c r="F350" t="s">
        <v>14</v>
      </c>
      <c r="G350">
        <v>965000</v>
      </c>
      <c r="H350" s="1">
        <v>45685</v>
      </c>
      <c r="K35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900K-1M</v>
      </c>
    </row>
    <row r="351" spans="1:11" x14ac:dyDescent="0.75">
      <c r="A351" t="s">
        <v>221</v>
      </c>
      <c r="B351" t="s">
        <v>11</v>
      </c>
      <c r="C351" t="s">
        <v>24</v>
      </c>
      <c r="D351" t="s">
        <v>13</v>
      </c>
      <c r="E351" t="s">
        <v>13</v>
      </c>
      <c r="F351" t="s">
        <v>14</v>
      </c>
      <c r="G351">
        <v>930000</v>
      </c>
      <c r="H351" s="1">
        <v>45681</v>
      </c>
      <c r="K35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900K-1M</v>
      </c>
    </row>
    <row r="352" spans="1:11" x14ac:dyDescent="0.75">
      <c r="A352" t="s">
        <v>222</v>
      </c>
      <c r="B352" t="s">
        <v>11</v>
      </c>
      <c r="C352" t="s">
        <v>71</v>
      </c>
      <c r="D352" t="s">
        <v>29</v>
      </c>
      <c r="E352" t="s">
        <v>14</v>
      </c>
      <c r="F352" t="s">
        <v>24</v>
      </c>
      <c r="G352">
        <v>690000</v>
      </c>
      <c r="H352" s="1">
        <v>45681</v>
      </c>
      <c r="K35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353" spans="1:11" x14ac:dyDescent="0.75">
      <c r="A353" t="s">
        <v>223</v>
      </c>
      <c r="B353" t="s">
        <v>11</v>
      </c>
      <c r="C353" t="s">
        <v>24</v>
      </c>
      <c r="D353" t="s">
        <v>14</v>
      </c>
      <c r="E353" t="s">
        <v>14</v>
      </c>
      <c r="F353" t="s">
        <v>14</v>
      </c>
      <c r="G353">
        <v>705000</v>
      </c>
      <c r="H353" s="1">
        <v>45678</v>
      </c>
      <c r="K35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700K-800K</v>
      </c>
    </row>
    <row r="354" spans="1:11" x14ac:dyDescent="0.75">
      <c r="A354" t="s">
        <v>224</v>
      </c>
      <c r="B354" t="s">
        <v>11</v>
      </c>
      <c r="C354" t="s">
        <v>24</v>
      </c>
      <c r="D354" t="s">
        <v>13</v>
      </c>
      <c r="E354" t="s">
        <v>14</v>
      </c>
      <c r="F354" t="s">
        <v>14</v>
      </c>
      <c r="G354">
        <v>580000</v>
      </c>
      <c r="H354" s="1">
        <v>45678</v>
      </c>
      <c r="K35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355" spans="1:11" x14ac:dyDescent="0.75">
      <c r="A355" t="s">
        <v>225</v>
      </c>
      <c r="B355" t="s">
        <v>18</v>
      </c>
      <c r="C355" t="s">
        <v>71</v>
      </c>
      <c r="D355" t="s">
        <v>20</v>
      </c>
      <c r="E355" t="s">
        <v>29</v>
      </c>
      <c r="F355" t="s">
        <v>14</v>
      </c>
      <c r="G355">
        <v>2050000</v>
      </c>
      <c r="H355" s="1">
        <v>45678</v>
      </c>
      <c r="K35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56" spans="1:11" x14ac:dyDescent="0.75">
      <c r="A356" t="s">
        <v>226</v>
      </c>
      <c r="B356" t="s">
        <v>11</v>
      </c>
      <c r="C356" t="s">
        <v>24</v>
      </c>
      <c r="D356" t="s">
        <v>13</v>
      </c>
      <c r="E356" t="s">
        <v>13</v>
      </c>
      <c r="F356" t="s">
        <v>24</v>
      </c>
      <c r="G356">
        <v>1049000</v>
      </c>
      <c r="H356" s="1">
        <v>45677</v>
      </c>
      <c r="K35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57" spans="1:11" x14ac:dyDescent="0.75">
      <c r="A357" t="s">
        <v>227</v>
      </c>
      <c r="B357" t="s">
        <v>11</v>
      </c>
      <c r="C357" t="s">
        <v>228</v>
      </c>
      <c r="D357" t="s">
        <v>13</v>
      </c>
      <c r="E357" t="s">
        <v>13</v>
      </c>
      <c r="F357" t="s">
        <v>24</v>
      </c>
      <c r="G357">
        <v>920000</v>
      </c>
      <c r="H357" s="1">
        <v>45677</v>
      </c>
      <c r="K35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900K-1M</v>
      </c>
    </row>
    <row r="358" spans="1:11" x14ac:dyDescent="0.75">
      <c r="A358" t="s">
        <v>229</v>
      </c>
      <c r="B358" t="s">
        <v>18</v>
      </c>
      <c r="C358" t="s">
        <v>230</v>
      </c>
      <c r="D358" t="s">
        <v>20</v>
      </c>
      <c r="E358" t="s">
        <v>13</v>
      </c>
      <c r="F358" t="s">
        <v>13</v>
      </c>
      <c r="G358">
        <v>5200000</v>
      </c>
      <c r="H358" s="1">
        <v>45674</v>
      </c>
      <c r="K35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59" spans="1:11" x14ac:dyDescent="0.75">
      <c r="A359" t="s">
        <v>231</v>
      </c>
      <c r="B359" t="s">
        <v>11</v>
      </c>
      <c r="C359" t="s">
        <v>232</v>
      </c>
      <c r="D359" t="s">
        <v>14</v>
      </c>
      <c r="E359" t="s">
        <v>14</v>
      </c>
      <c r="F359" t="s">
        <v>14</v>
      </c>
      <c r="G359">
        <v>590000</v>
      </c>
      <c r="H359" s="1">
        <v>45673</v>
      </c>
      <c r="K35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360" spans="1:11" x14ac:dyDescent="0.75">
      <c r="A360" t="s">
        <v>233</v>
      </c>
      <c r="B360" t="s">
        <v>11</v>
      </c>
      <c r="C360" t="s">
        <v>234</v>
      </c>
      <c r="D360" t="s">
        <v>13</v>
      </c>
      <c r="E360" t="s">
        <v>14</v>
      </c>
      <c r="F360" t="s">
        <v>24</v>
      </c>
      <c r="G360">
        <v>600000</v>
      </c>
      <c r="H360" s="1">
        <v>45672</v>
      </c>
      <c r="K36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361" spans="1:11" x14ac:dyDescent="0.75">
      <c r="A361" t="s">
        <v>235</v>
      </c>
      <c r="B361" t="s">
        <v>11</v>
      </c>
      <c r="C361" t="s">
        <v>200</v>
      </c>
      <c r="D361" t="s">
        <v>13</v>
      </c>
      <c r="E361" t="s">
        <v>14</v>
      </c>
      <c r="F361" t="s">
        <v>24</v>
      </c>
      <c r="G361">
        <v>618000</v>
      </c>
      <c r="H361" s="1">
        <v>45671</v>
      </c>
      <c r="K36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362" spans="1:11" x14ac:dyDescent="0.75">
      <c r="A362" t="s">
        <v>236</v>
      </c>
      <c r="B362" t="s">
        <v>11</v>
      </c>
      <c r="C362" t="s">
        <v>187</v>
      </c>
      <c r="D362" t="s">
        <v>13</v>
      </c>
      <c r="E362" t="s">
        <v>13</v>
      </c>
      <c r="F362" t="s">
        <v>13</v>
      </c>
      <c r="G362">
        <v>791000</v>
      </c>
      <c r="H362" s="1">
        <v>45670</v>
      </c>
      <c r="K36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700K-800K</v>
      </c>
    </row>
    <row r="363" spans="1:11" x14ac:dyDescent="0.75">
      <c r="A363" t="s">
        <v>237</v>
      </c>
      <c r="B363" t="s">
        <v>11</v>
      </c>
      <c r="C363" t="s">
        <v>238</v>
      </c>
      <c r="D363" t="s">
        <v>13</v>
      </c>
      <c r="E363" t="s">
        <v>13</v>
      </c>
      <c r="F363" t="s">
        <v>24</v>
      </c>
      <c r="G363">
        <v>1050000</v>
      </c>
      <c r="H363" s="1">
        <v>45670</v>
      </c>
      <c r="K36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64" spans="1:11" x14ac:dyDescent="0.75">
      <c r="A364" t="s">
        <v>239</v>
      </c>
      <c r="B364" t="s">
        <v>11</v>
      </c>
      <c r="C364" t="s">
        <v>24</v>
      </c>
      <c r="D364" t="s">
        <v>14</v>
      </c>
      <c r="E364" t="s">
        <v>14</v>
      </c>
      <c r="F364" t="s">
        <v>14</v>
      </c>
      <c r="G364">
        <v>700000</v>
      </c>
      <c r="H364" s="1">
        <v>45667</v>
      </c>
      <c r="K36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600K-700K</v>
      </c>
    </row>
    <row r="365" spans="1:11" x14ac:dyDescent="0.75">
      <c r="A365" t="s">
        <v>240</v>
      </c>
      <c r="B365" t="s">
        <v>11</v>
      </c>
      <c r="C365" t="s">
        <v>200</v>
      </c>
      <c r="D365" t="s">
        <v>31</v>
      </c>
      <c r="E365" t="s">
        <v>29</v>
      </c>
      <c r="F365" t="s">
        <v>24</v>
      </c>
      <c r="G365">
        <v>3210000</v>
      </c>
      <c r="H365" s="1">
        <v>45664</v>
      </c>
      <c r="K36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66" spans="1:11" x14ac:dyDescent="0.75">
      <c r="A366" t="s">
        <v>241</v>
      </c>
      <c r="B366" t="s">
        <v>11</v>
      </c>
      <c r="C366" t="s">
        <v>24</v>
      </c>
      <c r="D366" t="s">
        <v>29</v>
      </c>
      <c r="E366" t="s">
        <v>13</v>
      </c>
      <c r="F366" t="s">
        <v>13</v>
      </c>
      <c r="G366">
        <v>1060000</v>
      </c>
      <c r="H366" s="1">
        <v>45664</v>
      </c>
      <c r="K36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67" spans="1:11" x14ac:dyDescent="0.75">
      <c r="A367" t="s">
        <v>242</v>
      </c>
      <c r="B367" t="s">
        <v>11</v>
      </c>
      <c r="C367" t="s">
        <v>243</v>
      </c>
      <c r="D367" t="s">
        <v>13</v>
      </c>
      <c r="E367" t="s">
        <v>13</v>
      </c>
      <c r="F367" t="s">
        <v>24</v>
      </c>
      <c r="G367">
        <v>823000</v>
      </c>
      <c r="H367" s="1">
        <v>45664</v>
      </c>
      <c r="K36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800K-900K</v>
      </c>
    </row>
    <row r="368" spans="1:11" x14ac:dyDescent="0.75">
      <c r="A368" t="s">
        <v>244</v>
      </c>
      <c r="B368" t="s">
        <v>11</v>
      </c>
      <c r="C368" t="s">
        <v>245</v>
      </c>
      <c r="D368" t="s">
        <v>13</v>
      </c>
      <c r="E368" t="s">
        <v>13</v>
      </c>
      <c r="F368" t="s">
        <v>14</v>
      </c>
      <c r="G368">
        <v>820000</v>
      </c>
      <c r="H368" s="1">
        <v>45653</v>
      </c>
      <c r="K36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800K-900K</v>
      </c>
    </row>
    <row r="369" spans="1:11" x14ac:dyDescent="0.75">
      <c r="A369" t="s">
        <v>246</v>
      </c>
      <c r="B369" t="s">
        <v>11</v>
      </c>
      <c r="C369" t="s">
        <v>187</v>
      </c>
      <c r="D369" t="s">
        <v>13</v>
      </c>
      <c r="E369" t="s">
        <v>13</v>
      </c>
      <c r="F369" t="s">
        <v>14</v>
      </c>
      <c r="G369">
        <v>780000</v>
      </c>
      <c r="H369" s="1">
        <v>45650</v>
      </c>
      <c r="K36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700K-800K</v>
      </c>
    </row>
    <row r="370" spans="1:11" x14ac:dyDescent="0.75">
      <c r="A370" t="s">
        <v>247</v>
      </c>
      <c r="B370" t="s">
        <v>11</v>
      </c>
      <c r="C370" t="s">
        <v>214</v>
      </c>
      <c r="D370" t="s">
        <v>13</v>
      </c>
      <c r="E370" t="s">
        <v>13</v>
      </c>
      <c r="F370" t="s">
        <v>14</v>
      </c>
      <c r="G370">
        <v>1250000</v>
      </c>
      <c r="H370" s="1">
        <v>45649</v>
      </c>
      <c r="K37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71" spans="1:11" x14ac:dyDescent="0.75">
      <c r="A371" t="s">
        <v>248</v>
      </c>
      <c r="B371" t="s">
        <v>11</v>
      </c>
      <c r="C371" t="s">
        <v>249</v>
      </c>
      <c r="D371" t="s">
        <v>13</v>
      </c>
      <c r="E371" t="s">
        <v>13</v>
      </c>
      <c r="F371" t="s">
        <v>14</v>
      </c>
      <c r="G371">
        <v>1450000</v>
      </c>
      <c r="H371" s="1">
        <v>45649</v>
      </c>
      <c r="K37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72" spans="1:11" x14ac:dyDescent="0.75">
      <c r="A372" t="s">
        <v>250</v>
      </c>
      <c r="B372" t="s">
        <v>11</v>
      </c>
      <c r="C372" t="s">
        <v>214</v>
      </c>
      <c r="D372" t="s">
        <v>13</v>
      </c>
      <c r="E372" t="s">
        <v>13</v>
      </c>
      <c r="F372" t="s">
        <v>14</v>
      </c>
      <c r="G372">
        <v>1250000</v>
      </c>
      <c r="H372" s="1">
        <v>45649</v>
      </c>
      <c r="K37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73" spans="1:11" x14ac:dyDescent="0.75">
      <c r="A373" t="s">
        <v>251</v>
      </c>
      <c r="B373" t="s">
        <v>11</v>
      </c>
      <c r="C373" t="s">
        <v>214</v>
      </c>
      <c r="D373" t="s">
        <v>13</v>
      </c>
      <c r="E373" t="s">
        <v>13</v>
      </c>
      <c r="F373" t="s">
        <v>14</v>
      </c>
      <c r="G373">
        <v>1250000</v>
      </c>
      <c r="H373" s="1">
        <v>45649</v>
      </c>
      <c r="K37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74" spans="1:11" x14ac:dyDescent="0.75">
      <c r="A374" t="s">
        <v>252</v>
      </c>
      <c r="B374" t="s">
        <v>11</v>
      </c>
      <c r="C374" t="s">
        <v>214</v>
      </c>
      <c r="D374" t="s">
        <v>13</v>
      </c>
      <c r="E374" t="s">
        <v>13</v>
      </c>
      <c r="F374" t="s">
        <v>14</v>
      </c>
      <c r="G374">
        <v>1250000</v>
      </c>
      <c r="H374" s="1">
        <v>45649</v>
      </c>
      <c r="K37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75" spans="1:11" x14ac:dyDescent="0.75">
      <c r="A375" t="s">
        <v>253</v>
      </c>
      <c r="B375" t="s">
        <v>11</v>
      </c>
      <c r="C375" t="s">
        <v>249</v>
      </c>
      <c r="D375" t="s">
        <v>13</v>
      </c>
      <c r="E375" t="s">
        <v>14</v>
      </c>
      <c r="F375" t="s">
        <v>14</v>
      </c>
      <c r="G375">
        <v>1450000</v>
      </c>
      <c r="H375" s="1">
        <v>45649</v>
      </c>
      <c r="K37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76" spans="1:11" x14ac:dyDescent="0.75">
      <c r="A376" t="s">
        <v>254</v>
      </c>
      <c r="B376" t="s">
        <v>11</v>
      </c>
      <c r="C376" t="s">
        <v>249</v>
      </c>
      <c r="D376" t="s">
        <v>13</v>
      </c>
      <c r="E376" t="s">
        <v>14</v>
      </c>
      <c r="F376" t="s">
        <v>14</v>
      </c>
      <c r="G376">
        <v>1450000</v>
      </c>
      <c r="H376" s="1">
        <v>45649</v>
      </c>
      <c r="K37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77" spans="1:11" x14ac:dyDescent="0.75">
      <c r="A377" t="s">
        <v>255</v>
      </c>
      <c r="B377" t="s">
        <v>11</v>
      </c>
      <c r="C377" t="s">
        <v>249</v>
      </c>
      <c r="D377" t="s">
        <v>13</v>
      </c>
      <c r="E377" t="s">
        <v>14</v>
      </c>
      <c r="F377" t="s">
        <v>14</v>
      </c>
      <c r="G377">
        <v>1450000</v>
      </c>
      <c r="H377" s="1">
        <v>45649</v>
      </c>
      <c r="K37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78" spans="1:11" x14ac:dyDescent="0.75">
      <c r="A378" t="s">
        <v>256</v>
      </c>
      <c r="B378" t="s">
        <v>11</v>
      </c>
      <c r="C378" t="s">
        <v>249</v>
      </c>
      <c r="D378" t="s">
        <v>13</v>
      </c>
      <c r="E378" t="s">
        <v>14</v>
      </c>
      <c r="F378" t="s">
        <v>14</v>
      </c>
      <c r="G378">
        <v>1450000</v>
      </c>
      <c r="H378" s="1">
        <v>45649</v>
      </c>
      <c r="K37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79" spans="1:11" x14ac:dyDescent="0.75">
      <c r="A379" t="s">
        <v>257</v>
      </c>
      <c r="B379" t="s">
        <v>11</v>
      </c>
      <c r="C379" t="s">
        <v>249</v>
      </c>
      <c r="D379" t="s">
        <v>13</v>
      </c>
      <c r="E379" t="s">
        <v>14</v>
      </c>
      <c r="F379" t="s">
        <v>24</v>
      </c>
      <c r="G379">
        <v>1450000</v>
      </c>
      <c r="H379" s="1">
        <v>45649</v>
      </c>
      <c r="K37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80" spans="1:11" x14ac:dyDescent="0.75">
      <c r="A380" t="s">
        <v>258</v>
      </c>
      <c r="B380" t="s">
        <v>11</v>
      </c>
      <c r="C380" t="s">
        <v>24</v>
      </c>
      <c r="D380" t="s">
        <v>13</v>
      </c>
      <c r="E380" t="s">
        <v>14</v>
      </c>
      <c r="F380" t="s">
        <v>14</v>
      </c>
      <c r="G380">
        <v>850000</v>
      </c>
      <c r="H380" s="1">
        <v>45649</v>
      </c>
      <c r="K38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800K-900K</v>
      </c>
    </row>
    <row r="381" spans="1:11" x14ac:dyDescent="0.75">
      <c r="A381" t="s">
        <v>259</v>
      </c>
      <c r="B381" t="s">
        <v>11</v>
      </c>
      <c r="C381" t="s">
        <v>24</v>
      </c>
      <c r="D381" t="s">
        <v>13</v>
      </c>
      <c r="E381" t="s">
        <v>14</v>
      </c>
      <c r="F381" t="s">
        <v>13</v>
      </c>
      <c r="G381">
        <v>1040000</v>
      </c>
      <c r="H381" s="1">
        <v>45649</v>
      </c>
      <c r="K38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82" spans="1:11" x14ac:dyDescent="0.75">
      <c r="A382" t="s">
        <v>260</v>
      </c>
      <c r="B382" t="s">
        <v>11</v>
      </c>
      <c r="C382" t="s">
        <v>24</v>
      </c>
      <c r="D382" t="s">
        <v>13</v>
      </c>
      <c r="E382" t="s">
        <v>14</v>
      </c>
      <c r="F382" t="s">
        <v>24</v>
      </c>
      <c r="G382">
        <v>1180000</v>
      </c>
      <c r="H382" s="1">
        <v>45646</v>
      </c>
      <c r="K38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83" spans="1:11" x14ac:dyDescent="0.75">
      <c r="A383" t="s">
        <v>261</v>
      </c>
      <c r="B383" t="s">
        <v>11</v>
      </c>
      <c r="C383" t="s">
        <v>24</v>
      </c>
      <c r="D383" t="s">
        <v>13</v>
      </c>
      <c r="E383" t="s">
        <v>13</v>
      </c>
      <c r="F383" t="s">
        <v>24</v>
      </c>
      <c r="G383">
        <v>1250000</v>
      </c>
      <c r="H383" s="1">
        <v>45646</v>
      </c>
      <c r="K38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84" spans="1:11" x14ac:dyDescent="0.75">
      <c r="A384" t="s">
        <v>262</v>
      </c>
      <c r="B384" t="s">
        <v>11</v>
      </c>
      <c r="C384" t="s">
        <v>200</v>
      </c>
      <c r="D384" t="s">
        <v>24</v>
      </c>
      <c r="E384" t="s">
        <v>24</v>
      </c>
      <c r="F384" t="s">
        <v>24</v>
      </c>
      <c r="G384">
        <v>1300000</v>
      </c>
      <c r="H384" s="1">
        <v>45646</v>
      </c>
      <c r="K38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85" spans="1:11" x14ac:dyDescent="0.75">
      <c r="A385" t="s">
        <v>263</v>
      </c>
      <c r="B385" t="s">
        <v>11</v>
      </c>
      <c r="C385" t="s">
        <v>24</v>
      </c>
      <c r="D385" t="s">
        <v>14</v>
      </c>
      <c r="E385" t="s">
        <v>14</v>
      </c>
      <c r="F385" t="s">
        <v>14</v>
      </c>
      <c r="G385">
        <v>720000</v>
      </c>
      <c r="H385" s="1">
        <v>45646</v>
      </c>
      <c r="K38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700K-800K</v>
      </c>
    </row>
    <row r="386" spans="1:11" x14ac:dyDescent="0.75">
      <c r="A386" t="s">
        <v>264</v>
      </c>
      <c r="B386" t="s">
        <v>11</v>
      </c>
      <c r="C386" t="s">
        <v>24</v>
      </c>
      <c r="D386" t="s">
        <v>13</v>
      </c>
      <c r="E386" t="s">
        <v>13</v>
      </c>
      <c r="F386" t="s">
        <v>24</v>
      </c>
      <c r="G386">
        <v>970000</v>
      </c>
      <c r="H386" s="1">
        <v>45645</v>
      </c>
      <c r="K38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900K-1M</v>
      </c>
    </row>
    <row r="387" spans="1:11" x14ac:dyDescent="0.75">
      <c r="A387" t="s">
        <v>265</v>
      </c>
      <c r="B387" t="s">
        <v>18</v>
      </c>
      <c r="C387" t="s">
        <v>24</v>
      </c>
      <c r="D387" t="s">
        <v>31</v>
      </c>
      <c r="E387" t="s">
        <v>29</v>
      </c>
      <c r="F387" t="s">
        <v>13</v>
      </c>
      <c r="G387">
        <v>1750000</v>
      </c>
      <c r="H387" s="1">
        <v>45644</v>
      </c>
      <c r="K38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88" spans="1:11" x14ac:dyDescent="0.75">
      <c r="A388" t="s">
        <v>266</v>
      </c>
      <c r="B388" t="s">
        <v>18</v>
      </c>
      <c r="C388" t="s">
        <v>24</v>
      </c>
      <c r="D388" t="s">
        <v>29</v>
      </c>
      <c r="E388" t="s">
        <v>14</v>
      </c>
      <c r="F388" t="s">
        <v>24</v>
      </c>
      <c r="G388">
        <v>1050000</v>
      </c>
      <c r="H388" s="1">
        <v>45644</v>
      </c>
      <c r="K38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89" spans="1:11" x14ac:dyDescent="0.75">
      <c r="A389" t="s">
        <v>267</v>
      </c>
      <c r="B389" t="s">
        <v>11</v>
      </c>
      <c r="C389" t="s">
        <v>24</v>
      </c>
      <c r="D389" t="s">
        <v>24</v>
      </c>
      <c r="E389" t="s">
        <v>24</v>
      </c>
      <c r="F389" t="s">
        <v>24</v>
      </c>
      <c r="G389">
        <v>1925000</v>
      </c>
      <c r="H389" s="1">
        <v>45644</v>
      </c>
      <c r="K38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90" spans="1:11" x14ac:dyDescent="0.75">
      <c r="A390" t="s">
        <v>268</v>
      </c>
      <c r="B390" t="s">
        <v>11</v>
      </c>
      <c r="C390" t="s">
        <v>24</v>
      </c>
      <c r="D390" t="s">
        <v>13</v>
      </c>
      <c r="E390" t="s">
        <v>14</v>
      </c>
      <c r="F390" t="s">
        <v>24</v>
      </c>
      <c r="G390">
        <v>1400000</v>
      </c>
      <c r="H390" s="1">
        <v>45644</v>
      </c>
      <c r="K39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91" spans="1:11" x14ac:dyDescent="0.75">
      <c r="A391" t="s">
        <v>269</v>
      </c>
      <c r="B391" t="s">
        <v>18</v>
      </c>
      <c r="C391" t="s">
        <v>24</v>
      </c>
      <c r="D391" t="s">
        <v>29</v>
      </c>
      <c r="E391" t="s">
        <v>13</v>
      </c>
      <c r="F391" t="s">
        <v>13</v>
      </c>
      <c r="G391">
        <v>1750000</v>
      </c>
      <c r="H391" s="1">
        <v>45644</v>
      </c>
      <c r="K39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92" spans="1:11" x14ac:dyDescent="0.75">
      <c r="A392" t="s">
        <v>270</v>
      </c>
      <c r="B392" t="s">
        <v>11</v>
      </c>
      <c r="C392" t="s">
        <v>271</v>
      </c>
      <c r="D392" t="s">
        <v>14</v>
      </c>
      <c r="E392" t="s">
        <v>14</v>
      </c>
      <c r="F392" t="s">
        <v>24</v>
      </c>
      <c r="G392">
        <v>600000</v>
      </c>
      <c r="H392" s="1">
        <v>45643</v>
      </c>
      <c r="K39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500K-600K</v>
      </c>
    </row>
    <row r="393" spans="1:11" x14ac:dyDescent="0.75">
      <c r="A393" t="s">
        <v>272</v>
      </c>
      <c r="B393" t="s">
        <v>11</v>
      </c>
      <c r="C393" t="s">
        <v>24</v>
      </c>
      <c r="D393" t="s">
        <v>13</v>
      </c>
      <c r="E393" t="s">
        <v>14</v>
      </c>
      <c r="F393" t="s">
        <v>14</v>
      </c>
      <c r="G393">
        <v>3000000</v>
      </c>
      <c r="H393" s="1">
        <v>45643</v>
      </c>
      <c r="K39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94" spans="1:11" x14ac:dyDescent="0.75">
      <c r="A394" t="s">
        <v>273</v>
      </c>
      <c r="B394" t="s">
        <v>18</v>
      </c>
      <c r="C394" t="s">
        <v>71</v>
      </c>
      <c r="D394" t="s">
        <v>31</v>
      </c>
      <c r="E394" t="s">
        <v>13</v>
      </c>
      <c r="F394" t="s">
        <v>14</v>
      </c>
      <c r="G394">
        <v>2600000</v>
      </c>
      <c r="H394" s="1">
        <v>45643</v>
      </c>
      <c r="K39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95" spans="1:11" x14ac:dyDescent="0.75">
      <c r="A395" t="s">
        <v>274</v>
      </c>
      <c r="B395" t="s">
        <v>11</v>
      </c>
      <c r="C395" t="s">
        <v>275</v>
      </c>
      <c r="D395" t="s">
        <v>13</v>
      </c>
      <c r="E395" t="s">
        <v>14</v>
      </c>
      <c r="F395" t="s">
        <v>14</v>
      </c>
      <c r="G395">
        <v>772000</v>
      </c>
      <c r="H395" s="1">
        <v>45643</v>
      </c>
      <c r="K39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700K-800K</v>
      </c>
    </row>
    <row r="396" spans="1:11" x14ac:dyDescent="0.75">
      <c r="A396" t="s">
        <v>276</v>
      </c>
      <c r="B396" t="s">
        <v>11</v>
      </c>
      <c r="C396" t="s">
        <v>24</v>
      </c>
      <c r="D396" t="s">
        <v>13</v>
      </c>
      <c r="E396" t="s">
        <v>13</v>
      </c>
      <c r="F396" t="s">
        <v>14</v>
      </c>
      <c r="G396">
        <v>998000</v>
      </c>
      <c r="H396" s="1">
        <v>45642</v>
      </c>
      <c r="K39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900K-1M</v>
      </c>
    </row>
    <row r="397" spans="1:11" x14ac:dyDescent="0.75">
      <c r="A397" t="s">
        <v>277</v>
      </c>
      <c r="B397" t="s">
        <v>18</v>
      </c>
      <c r="C397" t="s">
        <v>234</v>
      </c>
      <c r="D397" t="s">
        <v>31</v>
      </c>
      <c r="E397" t="s">
        <v>13</v>
      </c>
      <c r="F397" t="s">
        <v>24</v>
      </c>
      <c r="G397">
        <v>3470000</v>
      </c>
      <c r="H397" s="1">
        <v>45642</v>
      </c>
      <c r="K39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98" spans="1:11" x14ac:dyDescent="0.75">
      <c r="A398" t="s">
        <v>278</v>
      </c>
      <c r="B398" t="s">
        <v>18</v>
      </c>
      <c r="C398" t="s">
        <v>234</v>
      </c>
      <c r="D398" t="s">
        <v>31</v>
      </c>
      <c r="E398" t="s">
        <v>13</v>
      </c>
      <c r="F398" t="s">
        <v>13</v>
      </c>
      <c r="G398">
        <v>4300000</v>
      </c>
      <c r="H398" s="1">
        <v>45642</v>
      </c>
      <c r="K398"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399" spans="1:11" x14ac:dyDescent="0.75">
      <c r="A399" t="s">
        <v>279</v>
      </c>
      <c r="B399" t="s">
        <v>11</v>
      </c>
      <c r="C399" t="s">
        <v>280</v>
      </c>
      <c r="D399" t="s">
        <v>13</v>
      </c>
      <c r="E399" t="s">
        <v>13</v>
      </c>
      <c r="F399" t="s">
        <v>24</v>
      </c>
      <c r="G399">
        <v>780000</v>
      </c>
      <c r="H399" s="1">
        <v>45639</v>
      </c>
      <c r="K399"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700K-800K</v>
      </c>
    </row>
    <row r="400" spans="1:11" x14ac:dyDescent="0.75">
      <c r="A400" t="s">
        <v>281</v>
      </c>
      <c r="B400" t="s">
        <v>11</v>
      </c>
      <c r="C400" t="s">
        <v>24</v>
      </c>
      <c r="D400" t="s">
        <v>13</v>
      </c>
      <c r="E400" t="s">
        <v>13</v>
      </c>
      <c r="F400" t="s">
        <v>14</v>
      </c>
      <c r="G400">
        <v>950000</v>
      </c>
      <c r="H400" s="1">
        <v>45639</v>
      </c>
      <c r="K400"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900K-1M</v>
      </c>
    </row>
    <row r="401" spans="1:11" x14ac:dyDescent="0.75">
      <c r="A401" t="s">
        <v>282</v>
      </c>
      <c r="B401" t="s">
        <v>11</v>
      </c>
      <c r="C401" t="s">
        <v>24</v>
      </c>
      <c r="D401" t="s">
        <v>13</v>
      </c>
      <c r="E401" t="s">
        <v>13</v>
      </c>
      <c r="F401" t="s">
        <v>14</v>
      </c>
      <c r="G401">
        <v>1000000</v>
      </c>
      <c r="H401" s="1">
        <v>45637</v>
      </c>
      <c r="K401"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900K-1M</v>
      </c>
    </row>
    <row r="402" spans="1:11" x14ac:dyDescent="0.75">
      <c r="A402" t="s">
        <v>283</v>
      </c>
      <c r="B402" t="s">
        <v>11</v>
      </c>
      <c r="C402" t="s">
        <v>24</v>
      </c>
      <c r="D402" t="s">
        <v>13</v>
      </c>
      <c r="E402" t="s">
        <v>13</v>
      </c>
      <c r="F402" t="s">
        <v>14</v>
      </c>
      <c r="G402">
        <v>980000</v>
      </c>
      <c r="H402" s="1">
        <v>45637</v>
      </c>
      <c r="K402"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900K-1M</v>
      </c>
    </row>
    <row r="403" spans="1:11" x14ac:dyDescent="0.75">
      <c r="A403" t="s">
        <v>284</v>
      </c>
      <c r="B403" t="s">
        <v>18</v>
      </c>
      <c r="C403" t="s">
        <v>285</v>
      </c>
      <c r="D403" t="s">
        <v>29</v>
      </c>
      <c r="E403" t="s">
        <v>14</v>
      </c>
      <c r="F403" t="s">
        <v>14</v>
      </c>
      <c r="G403">
        <v>1860000</v>
      </c>
      <c r="H403" s="1">
        <v>45636</v>
      </c>
      <c r="K403"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404" spans="1:11" x14ac:dyDescent="0.75">
      <c r="A404" t="s">
        <v>286</v>
      </c>
      <c r="B404" t="s">
        <v>11</v>
      </c>
      <c r="C404" t="s">
        <v>287</v>
      </c>
      <c r="D404" t="s">
        <v>13</v>
      </c>
      <c r="E404" t="s">
        <v>13</v>
      </c>
      <c r="F404" t="s">
        <v>14</v>
      </c>
      <c r="G404">
        <v>885000</v>
      </c>
      <c r="H404" s="1">
        <v>45636</v>
      </c>
      <c r="K404"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800K-900K</v>
      </c>
    </row>
    <row r="405" spans="1:11" x14ac:dyDescent="0.75">
      <c r="A405" t="s">
        <v>288</v>
      </c>
      <c r="B405" t="s">
        <v>11</v>
      </c>
      <c r="C405" t="s">
        <v>24</v>
      </c>
      <c r="D405" t="s">
        <v>24</v>
      </c>
      <c r="E405" t="s">
        <v>24</v>
      </c>
      <c r="F405" t="s">
        <v>24</v>
      </c>
      <c r="G405">
        <v>720000</v>
      </c>
      <c r="H405" s="1">
        <v>45635</v>
      </c>
      <c r="K405"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700K-800K</v>
      </c>
    </row>
    <row r="406" spans="1:11" x14ac:dyDescent="0.75">
      <c r="A406" t="s">
        <v>289</v>
      </c>
      <c r="B406" t="s">
        <v>18</v>
      </c>
      <c r="C406" t="s">
        <v>34</v>
      </c>
      <c r="D406" t="s">
        <v>13</v>
      </c>
      <c r="E406" t="s">
        <v>14</v>
      </c>
      <c r="F406" t="s">
        <v>24</v>
      </c>
      <c r="G406">
        <v>1586000</v>
      </c>
      <c r="H406" s="1">
        <v>45635</v>
      </c>
      <c r="K406"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row r="407" spans="1:11" x14ac:dyDescent="0.75">
      <c r="A407" t="s">
        <v>290</v>
      </c>
      <c r="B407" t="s">
        <v>18</v>
      </c>
      <c r="C407" t="s">
        <v>187</v>
      </c>
      <c r="D407" t="s">
        <v>31</v>
      </c>
      <c r="E407" t="s">
        <v>29</v>
      </c>
      <c r="F407" t="s">
        <v>31</v>
      </c>
      <c r="G407">
        <v>3265000</v>
      </c>
      <c r="H407" s="1">
        <v>45635</v>
      </c>
      <c r="K407" t="str">
        <f>IF(Burwood[[#This Row],[Sale Price]]&gt;1000000, "1M+",
   IF(AND(Burwood[[#This Row],[Sale Price]]&gt;700000, Burwood[[#This Row],[Sale Price]]&lt;=800000), "700K-800K",
   IF(AND(Burwood[[#This Row],[Sale Price]]&gt;800000, Burwood[[#This Row],[Sale Price]]&lt;=900000), "800K-900K",
   IF(AND(Burwood[[#This Row],[Sale Price]]&gt;600000, Burwood[[#This Row],[Sale Price]]&lt;=700000), "600K-700K",
  IF(AND(Burwood[[#This Row],[Sale Price]]&gt;900000, Burwood[[#This Row],[Sale Price]]&lt;=1000000), "900K-1M",
IF(AND(Burwood[[#This Row],[Sale Price]]&gt;500000, Burwood[[#This Row],[Sale Price]]&lt;=600000), "500K-600K",
IF(AND(Burwood[[#This Row],[Sale Price]]&gt;400000, Burwood[[#This Row],[Sale Price]]&lt;=500000), "400K-500K",
IF(AND(Burwood[[#This Row],[Sale Price]]&gt;300000, Burwood[[#This Row],[Sale Price]]&lt;=400000), "300K-400K", ))))))))</f>
        <v>1M+</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C80AF-73D1-486D-8A8A-FB0E680C26F4}">
  <dimension ref="B1:H26"/>
  <sheetViews>
    <sheetView showGridLines="0" tabSelected="1" topLeftCell="B2" workbookViewId="0">
      <selection activeCell="I10" sqref="I10"/>
    </sheetView>
  </sheetViews>
  <sheetFormatPr defaultRowHeight="15.5" x14ac:dyDescent="0.75"/>
  <cols>
    <col min="1" max="1" width="5.45703125" customWidth="1"/>
    <col min="5" max="5" width="9.1640625" customWidth="1"/>
    <col min="6" max="6" width="13.45703125" bestFit="1" customWidth="1"/>
    <col min="7" max="7" width="13.58203125" bestFit="1" customWidth="1"/>
    <col min="8" max="8" width="19.9140625" bestFit="1" customWidth="1"/>
    <col min="9" max="40" width="6.95703125" bestFit="1" customWidth="1"/>
    <col min="41" max="70" width="8" bestFit="1" customWidth="1"/>
    <col min="71" max="71" width="10.95703125" bestFit="1" customWidth="1"/>
  </cols>
  <sheetData>
    <row r="1" spans="2:8" s="2" customFormat="1" x14ac:dyDescent="0.75"/>
    <row r="2" spans="2:8" s="2" customFormat="1" x14ac:dyDescent="0.75"/>
    <row r="3" spans="2:8" s="2" customFormat="1" x14ac:dyDescent="0.75"/>
    <row r="4" spans="2:8" s="3" customFormat="1" ht="22.75" x14ac:dyDescent="0.95">
      <c r="B4" s="6" t="s">
        <v>291</v>
      </c>
      <c r="C4" s="6"/>
      <c r="D4" s="6"/>
      <c r="E4" s="6"/>
    </row>
    <row r="5" spans="2:8" s="2" customFormat="1" ht="16" x14ac:dyDescent="0.75">
      <c r="B5" s="3" t="s">
        <v>292</v>
      </c>
      <c r="C5" s="3"/>
      <c r="D5" s="3"/>
      <c r="E5" s="3"/>
    </row>
    <row r="6" spans="2:8" s="2" customFormat="1" x14ac:dyDescent="0.75"/>
    <row r="7" spans="2:8" s="2" customFormat="1" x14ac:dyDescent="0.75"/>
    <row r="8" spans="2:8" s="2" customFormat="1" x14ac:dyDescent="0.75"/>
    <row r="10" spans="2:8" x14ac:dyDescent="0.75">
      <c r="F10" s="8" t="s">
        <v>298</v>
      </c>
      <c r="G10" s="8"/>
    </row>
    <row r="11" spans="2:8" x14ac:dyDescent="0.75">
      <c r="F11" s="4" t="s">
        <v>297</v>
      </c>
      <c r="G11" t="s">
        <v>296</v>
      </c>
      <c r="H11" t="s">
        <v>299</v>
      </c>
    </row>
    <row r="12" spans="2:8" x14ac:dyDescent="0.75">
      <c r="F12" s="5" t="s">
        <v>71</v>
      </c>
      <c r="G12" s="9">
        <v>6</v>
      </c>
      <c r="H12" s="9">
        <v>2060500</v>
      </c>
    </row>
    <row r="13" spans="2:8" x14ac:dyDescent="0.75">
      <c r="F13" s="5" t="s">
        <v>214</v>
      </c>
      <c r="G13" s="9">
        <v>6</v>
      </c>
      <c r="H13" s="9">
        <v>1158333.3333333333</v>
      </c>
    </row>
    <row r="14" spans="2:8" x14ac:dyDescent="0.75">
      <c r="F14" s="5" t="s">
        <v>249</v>
      </c>
      <c r="G14" s="9">
        <v>6</v>
      </c>
      <c r="H14" s="9">
        <v>1450000</v>
      </c>
    </row>
    <row r="15" spans="2:8" x14ac:dyDescent="0.75">
      <c r="F15" s="5" t="s">
        <v>187</v>
      </c>
      <c r="G15" s="9">
        <v>6</v>
      </c>
      <c r="H15" s="9">
        <v>1509000</v>
      </c>
    </row>
    <row r="16" spans="2:8" x14ac:dyDescent="0.75">
      <c r="F16" s="5" t="s">
        <v>200</v>
      </c>
      <c r="G16" s="9">
        <v>4</v>
      </c>
      <c r="H16" s="9">
        <v>3032000</v>
      </c>
    </row>
    <row r="17" spans="6:8" x14ac:dyDescent="0.75">
      <c r="F17" s="5" t="s">
        <v>294</v>
      </c>
      <c r="G17" s="9">
        <v>28</v>
      </c>
      <c r="H17" s="9">
        <v>1756964.2857142857</v>
      </c>
    </row>
    <row r="19" spans="6:8" x14ac:dyDescent="0.75">
      <c r="F19" s="4" t="s">
        <v>302</v>
      </c>
      <c r="G19" t="s">
        <v>308</v>
      </c>
      <c r="H19" t="s">
        <v>299</v>
      </c>
    </row>
    <row r="20" spans="6:8" x14ac:dyDescent="0.75">
      <c r="F20" s="5" t="s">
        <v>301</v>
      </c>
      <c r="G20" s="9">
        <v>49</v>
      </c>
      <c r="H20" s="9">
        <v>2242877.551020408</v>
      </c>
    </row>
    <row r="21" spans="6:8" x14ac:dyDescent="0.75">
      <c r="F21" s="5" t="s">
        <v>306</v>
      </c>
      <c r="G21" s="9">
        <v>4</v>
      </c>
      <c r="H21" s="9">
        <v>592500</v>
      </c>
    </row>
    <row r="22" spans="6:8" x14ac:dyDescent="0.75">
      <c r="F22" s="5" t="s">
        <v>303</v>
      </c>
      <c r="G22" s="9">
        <v>6</v>
      </c>
      <c r="H22" s="9">
        <v>671333.33333333337</v>
      </c>
    </row>
    <row r="23" spans="6:8" x14ac:dyDescent="0.75">
      <c r="F23" s="5" t="s">
        <v>304</v>
      </c>
      <c r="G23" s="9">
        <v>10</v>
      </c>
      <c r="H23" s="9">
        <v>746800</v>
      </c>
    </row>
    <row r="24" spans="6:8" x14ac:dyDescent="0.75">
      <c r="F24" s="5" t="s">
        <v>305</v>
      </c>
      <c r="G24" s="9">
        <v>6</v>
      </c>
      <c r="H24" s="9">
        <v>847666.66666666663</v>
      </c>
    </row>
    <row r="25" spans="6:8" x14ac:dyDescent="0.75">
      <c r="F25" s="5" t="s">
        <v>307</v>
      </c>
      <c r="G25" s="9">
        <v>10</v>
      </c>
      <c r="H25" s="9">
        <v>957680</v>
      </c>
    </row>
    <row r="26" spans="6:8" x14ac:dyDescent="0.75">
      <c r="F26" s="5" t="s">
        <v>294</v>
      </c>
      <c r="G26" s="9">
        <v>85</v>
      </c>
      <c r="H26" s="9">
        <v>1628585.8823529412</v>
      </c>
    </row>
  </sheetData>
  <mergeCells count="1">
    <mergeCell ref="F10:G10"/>
  </mergeCells>
  <conditionalFormatting pivot="1">
    <cfRule type="dataBar" priority="4">
      <dataBar>
        <cfvo type="min"/>
        <cfvo type="max"/>
        <color rgb="FFFF555A"/>
      </dataBar>
      <extLst>
        <ext xmlns:x14="http://schemas.microsoft.com/office/spreadsheetml/2009/9/main" uri="{B025F937-C7B1-47D3-B67F-A62EFF666E3E}">
          <x14:id>{4E53D313-6A65-4391-929C-61CBA13A7ECD}</x14:id>
        </ext>
      </extLst>
    </cfRule>
  </conditionalFormatting>
  <conditionalFormatting pivot="1" sqref="G12:G16">
    <cfRule type="dataBar" priority="3">
      <dataBar>
        <cfvo type="min"/>
        <cfvo type="max"/>
        <color rgb="FFFF555A"/>
      </dataBar>
      <extLst>
        <ext xmlns:x14="http://schemas.microsoft.com/office/spreadsheetml/2009/9/main" uri="{B025F937-C7B1-47D3-B67F-A62EFF666E3E}">
          <x14:id>{297FEE06-C1C9-4792-BE33-E004DB857D84}</x14:id>
        </ext>
      </extLst>
    </cfRule>
  </conditionalFormatting>
  <conditionalFormatting pivot="1">
    <cfRule type="dataBar" priority="2">
      <dataBar>
        <cfvo type="min"/>
        <cfvo type="max"/>
        <color rgb="FFFF555A"/>
      </dataBar>
      <extLst>
        <ext xmlns:x14="http://schemas.microsoft.com/office/spreadsheetml/2009/9/main" uri="{B025F937-C7B1-47D3-B67F-A62EFF666E3E}">
          <x14:id>{B264B1FE-7B4E-4186-8961-0827FD1D6291}</x14:id>
        </ext>
      </extLst>
    </cfRule>
  </conditionalFormatting>
  <conditionalFormatting pivot="1" sqref="H12:H16">
    <cfRule type="dataBar" priority="1">
      <dataBar>
        <cfvo type="min"/>
        <cfvo type="max"/>
        <color rgb="FFFF555A"/>
      </dataBar>
      <extLst>
        <ext xmlns:x14="http://schemas.microsoft.com/office/spreadsheetml/2009/9/main" uri="{B025F937-C7B1-47D3-B67F-A62EFF666E3E}">
          <x14:id>{9C42359A-C2E4-43C0-A862-214A56BD9D1A}</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4E53D313-6A65-4391-929C-61CBA13A7ECD}">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297FEE06-C1C9-4792-BE33-E004DB857D84}">
            <x14:dataBar minLength="0" maxLength="100" gradient="0">
              <x14:cfvo type="autoMin"/>
              <x14:cfvo type="autoMax"/>
              <x14:negativeFillColor rgb="FFFF0000"/>
              <x14:axisColor rgb="FF000000"/>
            </x14:dataBar>
          </x14:cfRule>
          <xm:sqref>G12:G16</xm:sqref>
        </x14:conditionalFormatting>
        <x14:conditionalFormatting xmlns:xm="http://schemas.microsoft.com/office/excel/2006/main" pivot="1">
          <x14:cfRule type="dataBar" id="{B264B1FE-7B4E-4186-8961-0827FD1D6291}">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9C42359A-C2E4-43C0-A862-214A56BD9D1A}">
            <x14:dataBar minLength="0" maxLength="100" gradient="0">
              <x14:cfvo type="autoMin"/>
              <x14:cfvo type="autoMax"/>
              <x14:negativeFillColor rgb="FFFF0000"/>
              <x14:axisColor rgb="FF000000"/>
            </x14:dataBar>
          </x14:cfRule>
          <xm:sqref>H12:H16</xm:sqref>
        </x14:conditionalFormatting>
      </x14:conditionalFormattings>
    </ex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8AB955C-2311-4B48-BA41-E95B57375F9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Binita Budhathoki</dc:creator>
  <cp:lastModifiedBy>Binita Budhathoki</cp:lastModifiedBy>
  <dcterms:created xsi:type="dcterms:W3CDTF">2025-03-07T14:01:09Z</dcterms:created>
  <dcterms:modified xsi:type="dcterms:W3CDTF">2025-04-06T07:46:36Z</dcterms:modified>
</cp:coreProperties>
</file>